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水晶主数据" sheetId="2" state="visible" r:id="rId2"/>
    <sheet xmlns:r="http://schemas.openxmlformats.org/officeDocument/2006/relationships" name="珠子SKU" sheetId="3" state="visible" r:id="rId3"/>
    <sheet xmlns:r="http://schemas.openxmlformats.org/officeDocument/2006/relationships" name="配件SKU" sheetId="4" state="visible" r:id="rId4"/>
    <sheet xmlns:r="http://schemas.openxmlformats.org/officeDocument/2006/relationships" name="库存批次" sheetId="5" state="visible" r:id="rId5"/>
    <sheet xmlns:r="http://schemas.openxmlformats.org/officeDocument/2006/relationships" name="图片资产" sheetId="6" state="visible" r:id="rId6"/>
    <sheet xmlns:r="http://schemas.openxmlformats.org/officeDocument/2006/relationships" name="AI分析结果" sheetId="7" state="visible" r:id="rId7"/>
    <sheet xmlns:r="http://schemas.openxmlformats.org/officeDocument/2006/relationships" name="字段字典" sheetId="8" state="visible" r:id="rId8"/>
    <sheet xmlns:r="http://schemas.openxmlformats.org/officeDocument/2006/relationships" name="_枚举" sheetId="9" state="hidden" r:id="rId9"/>
  </sheets>
  <definedNames>
    <definedName name="_xlnm._FilterDatabase" localSheetId="2" hidden="1">'珠子SKU'!$A$4:$AG$104</definedName>
    <definedName name="_xlnm._FilterDatabase" localSheetId="4" hidden="1">'库存批次'!$A$4:$U$104</definedName>
    <definedName name="_xlnm._FilterDatabase" localSheetId="5" hidden="1">'图片资产'!$A$4:$Z$104</definedName>
    <definedName name="_xlnm._FilterDatabase" localSheetId="6" hidden="1">'AI分析结果'!$A$4:$O$104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"/>
    <numFmt numFmtId="167" formatCode="yyyy-mm-dd hh:mm"/>
  </numFmts>
  <fonts count="13">
    <font>
      <name val="Carlito"/>
      <sz val="11"/>
    </font>
    <font>
      <name val="Carlito"/>
      <b val="1"/>
      <color rgb="FFFFFFFF"/>
      <sz val="18"/>
    </font>
    <font>
      <name val="Carlito"/>
      <b val="1"/>
      <color rgb="FF4D374A"/>
      <sz val="12"/>
    </font>
    <font>
      <name val="Carlito"/>
      <color rgb="FF342C32"/>
      <sz val="10"/>
    </font>
    <font>
      <name val="Carlito"/>
      <b val="1"/>
      <color rgb="FFFFFFFF"/>
      <sz val="10"/>
    </font>
    <font>
      <name val="Carlito"/>
      <color rgb="FF342C32"/>
      <sz val="9"/>
    </font>
    <font>
      <name val="Carlito"/>
      <b val="1"/>
      <color rgb="FF4D374A"/>
      <sz val="9"/>
    </font>
    <font>
      <name val="Carlito"/>
      <b val="1"/>
      <color rgb="00FFFFFF"/>
      <sz val="18"/>
    </font>
    <font>
      <i val="1"/>
      <color rgb="00534052"/>
      <sz val="9"/>
    </font>
    <font>
      <name val="Carlito"/>
      <b val="1"/>
      <color rgb="00FFFFFF"/>
      <sz val="9"/>
    </font>
    <font>
      <b val="1"/>
      <i val="1"/>
      <color rgb="009C0006"/>
      <sz val="9"/>
    </font>
    <font>
      <b val="1"/>
      <color rgb="00534052"/>
    </font>
    <font>
      <color rgb="00534052"/>
    </font>
  </fonts>
  <fills count="11">
    <fill>
      <patternFill/>
    </fill>
    <fill>
      <patternFill patternType="gray125"/>
    </fill>
    <fill>
      <patternFill patternType="solid">
        <fgColor rgb="FF4D374A"/>
      </patternFill>
    </fill>
    <fill>
      <patternFill patternType="solid">
        <fgColor rgb="FFEDE4EB"/>
      </patternFill>
    </fill>
    <fill>
      <patternFill patternType="solid">
        <fgColor rgb="FFFBF8F3"/>
      </patternFill>
    </fill>
    <fill>
      <patternFill patternType="solid">
        <fgColor rgb="FF684C64"/>
      </patternFill>
    </fill>
    <fill>
      <patternFill patternType="solid">
        <fgColor rgb="FFF5EFE7"/>
      </patternFill>
    </fill>
    <fill>
      <patternFill patternType="solid">
        <fgColor rgb="00534052"/>
      </patternFill>
    </fill>
    <fill>
      <patternFill patternType="solid">
        <fgColor rgb="00EEE7F0"/>
      </patternFill>
    </fill>
    <fill>
      <patternFill patternType="solid">
        <fgColor rgb="006B4F68"/>
      </patternFill>
    </fill>
    <fill>
      <patternFill patternType="solid">
        <fgColor rgb="00FAF7F2"/>
      </patternFill>
    </fill>
  </fills>
  <borders count="21">
    <border/>
    <border>
      <right style="thin">
        <color rgb="FFD9CFD7"/>
      </right>
      <bottom style="thin">
        <color rgb="FFD9CFD7"/>
      </bottom>
    </border>
    <border>
      <left style="thin">
        <color rgb="FFD9CFD7"/>
      </left>
      <bottom style="thin">
        <color rgb="FFD9CFD7"/>
      </bottom>
    </border>
    <border>
      <right style="thin">
        <color rgb="FFD9CFD7"/>
      </right>
      <top style="thin">
        <color rgb="FFD9CFD7"/>
      </top>
      <bottom style="thin">
        <color rgb="FFD9CFD7"/>
      </bottom>
    </border>
    <border>
      <left style="thin">
        <color rgb="FFD9CFD7"/>
      </left>
      <top style="thin">
        <color rgb="FFD9CFD7"/>
      </top>
      <bottom style="thin">
        <color rgb="FFD9CFD7"/>
      </bottom>
    </border>
    <border>
      <right style="thin">
        <color rgb="FFD9CFD7"/>
      </right>
      <top style="thin">
        <color rgb="FFD9CFD7"/>
      </top>
    </border>
    <border>
      <left style="thin">
        <color rgb="FFD9CFD7"/>
      </left>
      <top style="thin">
        <color rgb="FFD9CFD7"/>
      </top>
    </border>
    <border>
      <left style="thin">
        <color rgb="FFD9CFD7"/>
      </left>
      <right style="thin">
        <color rgb="FFD9CFD7"/>
      </right>
      <bottom style="thin">
        <color rgb="FFD9CFD7"/>
      </bottom>
    </border>
    <border>
      <left style="thin">
        <color rgb="FFD9CFD7"/>
      </left>
      <right style="thin">
        <color rgb="FFD9CFD7"/>
      </right>
      <top style="thin">
        <color rgb="FFD9CFD7"/>
      </top>
      <bottom style="thin">
        <color rgb="FFD9CFD7"/>
      </bottom>
    </border>
    <border>
      <right style="thin">
        <color rgb="FF8C7487"/>
      </right>
      <bottom style="thin">
        <color rgb="FFD9CFD7"/>
      </bottom>
    </border>
    <border>
      <left style="thin">
        <color rgb="FF8C7487"/>
      </left>
      <right style="thin">
        <color rgb="FFD9CFD7"/>
      </right>
      <bottom style="thin">
        <color rgb="FFD9CFD7"/>
      </bottom>
    </border>
    <border>
      <left style="thin">
        <color rgb="FFD9CFD7"/>
      </left>
      <right style="thin">
        <color rgb="FF8C7487"/>
      </right>
      <bottom style="thin">
        <color rgb="FFD9CFD7"/>
      </bottom>
    </border>
    <border>
      <left style="thin">
        <color rgb="FF8C7487"/>
      </left>
      <right style="thin">
        <color rgb="FF8C7487"/>
      </right>
      <bottom style="thin">
        <color rgb="FFD9CFD7"/>
      </bottom>
    </border>
    <border>
      <left style="thin">
        <color rgb="FFD9CFD7"/>
      </left>
      <right style="thin">
        <color rgb="FFD9CFD7"/>
      </right>
      <top style="thin">
        <color rgb="FFD9CFD7"/>
      </top>
    </border>
    <border>
      <right style="thin">
        <color rgb="FF8C7487"/>
      </right>
    </border>
    <border>
      <left style="thin">
        <color rgb="FF8C7487"/>
      </left>
      <right style="thin">
        <color rgb="FF8C7487"/>
      </right>
    </border>
    <border>
      <left style="thin">
        <color rgb="FF8C7487"/>
      </left>
    </border>
    <border>
      <bottom style="thin">
        <color rgb="FFD9CFD7"/>
      </bottom>
    </border>
    <border>
      <top style="thin">
        <color rgb="FFD9CFD7"/>
      </top>
      <bottom style="thin">
        <color rgb="FFD9CFD7"/>
      </bottom>
    </border>
    <border>
      <top style="thin">
        <color rgb="FFD9CFD7"/>
      </top>
    </border>
    <border>
      <right style="thin">
        <color rgb="FFD9CFD7"/>
      </right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0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0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8" pivotButton="0" quotePrefix="0" xfId="0"/>
    <xf numFmtId="0" fontId="3" fillId="4" borderId="1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8" applyAlignment="1" pivotButton="0" quotePrefix="0" xfId="0">
      <alignment wrapText="1"/>
    </xf>
    <xf numFmtId="0" fontId="3" fillId="4" borderId="1" applyAlignment="1" pivotButton="0" quotePrefix="0" xfId="0">
      <alignment vertical="top" wrapText="1"/>
    </xf>
    <xf numFmtId="0" fontId="3" fillId="4" borderId="7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7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7" applyAlignment="1" pivotButton="0" quotePrefix="0" xfId="0">
      <alignment vertical="top" wrapText="1"/>
    </xf>
    <xf numFmtId="0" fontId="4" fillId="5" borderId="9" applyAlignment="1" pivotButton="0" quotePrefix="0" xfId="0">
      <alignment vertical="top" wrapText="1"/>
    </xf>
    <xf numFmtId="0" fontId="4" fillId="5" borderId="10" applyAlignment="1" pivotButton="0" quotePrefix="0" xfId="0">
      <alignment vertical="top" wrapText="1"/>
    </xf>
    <xf numFmtId="0" fontId="4" fillId="5" borderId="9" applyAlignment="1" pivotButton="0" quotePrefix="0" xfId="0">
      <alignment horizontal="center" vertical="top" wrapText="1"/>
    </xf>
    <xf numFmtId="0" fontId="4" fillId="5" borderId="10" applyAlignment="1" pivotButton="0" quotePrefix="0" xfId="0">
      <alignment horizontal="center" vertical="top" wrapText="1"/>
    </xf>
    <xf numFmtId="0" fontId="4" fillId="5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vertical="top" wrapText="1"/>
    </xf>
    <xf numFmtId="0" fontId="4" fillId="5" borderId="12" applyAlignment="1" pivotButton="0" quotePrefix="0" xfId="0">
      <alignment vertical="top" wrapText="1"/>
    </xf>
    <xf numFmtId="0" fontId="4" fillId="5" borderId="11" applyAlignment="1" pivotButton="0" quotePrefix="0" xfId="0">
      <alignment horizontal="center" vertical="top" wrapText="1"/>
    </xf>
    <xf numFmtId="0" fontId="4" fillId="5" borderId="12" applyAlignment="1" pivotButton="0" quotePrefix="0" xfId="0">
      <alignment horizontal="center" vertical="top" wrapText="1"/>
    </xf>
    <xf numFmtId="0" fontId="4" fillId="5" borderId="11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3" fillId="4" borderId="13" pivotButton="0" quotePrefix="0" xfId="0"/>
    <xf numFmtId="0" fontId="3" fillId="4" borderId="2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5" applyAlignment="1" pivotButton="0" quotePrefix="0" xfId="0">
      <alignment wrapText="1"/>
    </xf>
    <xf numFmtId="0" fontId="3" fillId="4" borderId="13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2" applyAlignment="1" pivotButton="0" quotePrefix="0" xfId="0">
      <alignment vertical="top" wrapText="1"/>
    </xf>
    <xf numFmtId="0" fontId="3" fillId="4" borderId="4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3" fillId="4" borderId="13" applyAlignment="1" pivotButton="0" quotePrefix="0" xfId="0">
      <alignment vertical="top" wrapText="1"/>
    </xf>
    <xf numFmtId="0" fontId="3" fillId="4" borderId="6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14" pivotButton="0" quotePrefix="0" xfId="0"/>
    <xf numFmtId="0" fontId="4" fillId="5" borderId="15" pivotButton="0" quotePrefix="0" xfId="0"/>
    <xf numFmtId="0" fontId="4" fillId="5" borderId="16" pivotButton="0" quotePrefix="0" xfId="0"/>
    <xf numFmtId="0" fontId="4" fillId="5" borderId="14" applyAlignment="1" pivotButton="0" quotePrefix="0" xfId="0">
      <alignment wrapText="1"/>
    </xf>
    <xf numFmtId="0" fontId="4" fillId="5" borderId="15" applyAlignment="1" pivotButton="0" quotePrefix="0" xfId="0">
      <alignment wrapText="1"/>
    </xf>
    <xf numFmtId="0" fontId="4" fillId="5" borderId="16" applyAlignment="1" pivotButton="0" quotePrefix="0" xfId="0">
      <alignment wrapText="1"/>
    </xf>
    <xf numFmtId="0" fontId="4" fillId="5" borderId="14" applyAlignment="1" pivotButton="0" quotePrefix="0" xfId="0">
      <alignment horizontal="center" wrapText="1"/>
    </xf>
    <xf numFmtId="0" fontId="4" fillId="5" borderId="15" applyAlignment="1" pivotButton="0" quotePrefix="0" xfId="0">
      <alignment horizontal="center" wrapText="1"/>
    </xf>
    <xf numFmtId="0" fontId="4" fillId="5" borderId="16" applyAlignment="1" pivotButton="0" quotePrefix="0" xfId="0">
      <alignment horizontal="center" wrapText="1"/>
    </xf>
    <xf numFmtId="0" fontId="4" fillId="5" borderId="14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 wrapText="1"/>
    </xf>
    <xf numFmtId="0" fontId="4" fillId="5" borderId="16" applyAlignment="1" pivotButton="0" quotePrefix="0" xfId="0">
      <alignment horizontal="center" vertical="center" wrapText="1"/>
    </xf>
    <xf numFmtId="0" fontId="5" fillId="4" borderId="0" pivotButton="0" quotePrefix="0" xfId="0"/>
    <xf numFmtId="0" fontId="5" fillId="4" borderId="17" pivotButton="0" quotePrefix="0" xfId="0"/>
    <xf numFmtId="0" fontId="5" fillId="4" borderId="18" pivotButton="0" quotePrefix="0" xfId="0"/>
    <xf numFmtId="0" fontId="5" fillId="4" borderId="19" pivotButton="0" quotePrefix="0" xfId="0"/>
    <xf numFmtId="0" fontId="5" fillId="4" borderId="17" applyAlignment="1" pivotButton="0" quotePrefix="0" xfId="0">
      <alignment wrapText="1"/>
    </xf>
    <xf numFmtId="0" fontId="5" fillId="4" borderId="18" applyAlignment="1" pivotButton="0" quotePrefix="0" xfId="0">
      <alignment wrapText="1"/>
    </xf>
    <xf numFmtId="0" fontId="5" fillId="4" borderId="19" applyAlignment="1" pivotButton="0" quotePrefix="0" xfId="0">
      <alignment wrapText="1"/>
    </xf>
    <xf numFmtId="0" fontId="5" fillId="4" borderId="17" applyAlignment="1" pivotButton="0" quotePrefix="0" xfId="0">
      <alignment vertical="top" wrapText="1"/>
    </xf>
    <xf numFmtId="0" fontId="5" fillId="4" borderId="18" applyAlignment="1" pivotButton="0" quotePrefix="0" xfId="0">
      <alignment vertical="top" wrapText="1"/>
    </xf>
    <xf numFmtId="0" fontId="5" fillId="4" borderId="19" applyAlignment="1" pivotButton="0" quotePrefix="0" xfId="0">
      <alignment vertical="top" wrapText="1"/>
    </xf>
    <xf numFmtId="0" fontId="5" fillId="6" borderId="17" applyAlignment="1" pivotButton="0" quotePrefix="0" xfId="0">
      <alignment vertical="top" wrapText="1"/>
    </xf>
    <xf numFmtId="0" fontId="5" fillId="6" borderId="18" applyAlignment="1" pivotButton="0" quotePrefix="0" xfId="0">
      <alignment vertical="top" wrapText="1"/>
    </xf>
    <xf numFmtId="0" fontId="5" fillId="6" borderId="19" applyAlignment="1" pivotButton="0" quotePrefix="0" xfId="0">
      <alignment vertical="top" wrapText="1"/>
    </xf>
    <xf numFmtId="0" fontId="6" fillId="6" borderId="17" applyAlignment="1" pivotButton="0" quotePrefix="0" xfId="0">
      <alignment vertical="top" wrapText="1"/>
    </xf>
    <xf numFmtId="0" fontId="6" fillId="6" borderId="18" applyAlignment="1" pivotButton="0" quotePrefix="0" xfId="0">
      <alignment vertical="top" wrapText="1"/>
    </xf>
    <xf numFmtId="0" fontId="6" fillId="6" borderId="19" applyAlignment="1" pivotButton="0" quotePrefix="0" xfId="0">
      <alignment vertical="top" wrapText="1"/>
    </xf>
    <xf numFmtId="0" fontId="6" fillId="6" borderId="17" applyAlignment="1" pivotButton="0" quotePrefix="0" xfId="0">
      <alignment horizontal="center" vertical="top" wrapText="1"/>
    </xf>
    <xf numFmtId="0" fontId="6" fillId="6" borderId="18" applyAlignment="1" pivotButton="0" quotePrefix="0" xfId="0">
      <alignment horizontal="center" vertical="top" wrapText="1"/>
    </xf>
    <xf numFmtId="0" fontId="6" fillId="6" borderId="19" applyAlignment="1" pivotButton="0" quotePrefix="0" xfId="0">
      <alignment horizontal="center" vertical="top" wrapText="1"/>
    </xf>
    <xf numFmtId="1" fontId="5" fillId="4" borderId="17" applyAlignment="1" pivotButton="0" quotePrefix="0" xfId="0">
      <alignment vertical="top" wrapText="1"/>
    </xf>
    <xf numFmtId="1" fontId="5" fillId="4" borderId="18" applyAlignment="1" pivotButton="0" quotePrefix="0" xfId="0">
      <alignment vertical="top" wrapText="1"/>
    </xf>
    <xf numFmtId="1" fontId="5" fillId="4" borderId="19" applyAlignment="1" pivotButton="0" quotePrefix="0" xfId="0">
      <alignment vertical="top" wrapText="1"/>
    </xf>
    <xf numFmtId="164" fontId="5" fillId="4" borderId="17" applyAlignment="1" pivotButton="0" quotePrefix="0" xfId="0">
      <alignment vertical="top" wrapText="1"/>
    </xf>
    <xf numFmtId="164" fontId="5" fillId="4" borderId="18" applyAlignment="1" pivotButton="0" quotePrefix="0" xfId="0">
      <alignment vertical="top" wrapText="1"/>
    </xf>
    <xf numFmtId="164" fontId="5" fillId="4" borderId="19" applyAlignment="1" pivotButton="0" quotePrefix="0" xfId="0">
      <alignment vertical="top" wrapText="1"/>
    </xf>
    <xf numFmtId="3" fontId="5" fillId="4" borderId="17" applyAlignment="1" pivotButton="0" quotePrefix="0" xfId="0">
      <alignment vertical="top" wrapText="1"/>
    </xf>
    <xf numFmtId="3" fontId="5" fillId="4" borderId="18" applyAlignment="1" pivotButton="0" quotePrefix="0" xfId="0">
      <alignment vertical="top" wrapText="1"/>
    </xf>
    <xf numFmtId="3" fontId="5" fillId="4" borderId="19" applyAlignment="1" pivotButton="0" quotePrefix="0" xfId="0">
      <alignment vertical="top" wrapText="1"/>
    </xf>
    <xf numFmtId="0" fontId="0" fillId="0" borderId="17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0" fontId="11" fillId="8" borderId="3" applyAlignment="1" pivotButton="0" quotePrefix="0" xfId="0">
      <alignment horizontal="center" vertical="center"/>
    </xf>
    <xf numFmtId="0" fontId="12" fillId="10" borderId="8" applyAlignment="1" pivotButton="0" quotePrefix="0" xfId="0">
      <alignment vertical="center" wrapText="1"/>
    </xf>
    <xf numFmtId="0" fontId="6" fillId="6" borderId="17" applyAlignment="1" pivotButton="0" quotePrefix="0" xfId="0">
      <alignment horizontal="center" vertical="center"/>
    </xf>
    <xf numFmtId="1" fontId="5" fillId="4" borderId="17" applyAlignment="1" pivotButton="0" quotePrefix="0" xfId="0">
      <alignment vertical="top" wrapText="1"/>
    </xf>
    <xf numFmtId="0" fontId="6" fillId="6" borderId="18" applyAlignment="1" pivotButton="0" quotePrefix="0" xfId="0">
      <alignment horizontal="center" vertical="center"/>
    </xf>
    <xf numFmtId="1" fontId="5" fillId="4" borderId="18" applyAlignment="1" pivotButton="0" quotePrefix="0" xfId="0">
      <alignment vertical="top" wrapText="1"/>
    </xf>
    <xf numFmtId="0" fontId="6" fillId="6" borderId="19" applyAlignment="1" pivotButton="0" quotePrefix="0" xfId="0">
      <alignment horizontal="center" vertical="center"/>
    </xf>
    <xf numFmtId="1" fontId="5" fillId="4" borderId="19" applyAlignment="1" pivotButton="0" quotePrefix="0" xfId="0">
      <alignment vertical="top" wrapText="1"/>
    </xf>
    <xf numFmtId="0" fontId="7" fillId="7" borderId="0" applyAlignment="1" pivotButton="0" quotePrefix="0" xfId="0">
      <alignment horizontal="left" vertical="center"/>
    </xf>
    <xf numFmtId="0" fontId="8" fillId="8" borderId="0" applyAlignment="1" pivotButton="0" quotePrefix="0" xfId="0">
      <alignment vertical="center" wrapText="1"/>
    </xf>
    <xf numFmtId="0" fontId="9" fillId="9" borderId="14" applyAlignment="1" pivotButton="0" quotePrefix="0" xfId="0">
      <alignment horizontal="center" vertical="center" wrapText="1"/>
    </xf>
    <xf numFmtId="0" fontId="5" fillId="4" borderId="18" applyAlignment="1" pivotButton="0" quotePrefix="0" xfId="0">
      <alignment vertical="center"/>
    </xf>
    <xf numFmtId="164" fontId="5" fillId="4" borderId="18" applyAlignment="1" pivotButton="0" quotePrefix="0" xfId="0">
      <alignment vertical="center"/>
    </xf>
    <xf numFmtId="3" fontId="5" fillId="4" borderId="18" applyAlignment="1" pivotButton="0" quotePrefix="0" xfId="0">
      <alignment vertical="center"/>
    </xf>
    <xf numFmtId="165" fontId="5" fillId="4" borderId="18" applyAlignment="1" pivotButton="0" quotePrefix="0" xfId="0">
      <alignment vertical="center"/>
    </xf>
    <xf numFmtId="164" fontId="5" fillId="4" borderId="17" applyAlignment="1" pivotButton="0" quotePrefix="0" xfId="0">
      <alignment vertical="top" wrapText="1"/>
    </xf>
    <xf numFmtId="3" fontId="5" fillId="4" borderId="17" applyAlignment="1" pivotButton="0" quotePrefix="0" xfId="0">
      <alignment vertical="top" wrapText="1"/>
    </xf>
    <xf numFmtId="164" fontId="5" fillId="4" borderId="18" applyAlignment="1" pivotButton="0" quotePrefix="0" xfId="0">
      <alignment vertical="top" wrapText="1"/>
    </xf>
    <xf numFmtId="3" fontId="5" fillId="4" borderId="18" applyAlignment="1" pivotButton="0" quotePrefix="0" xfId="0">
      <alignment vertical="top" wrapText="1"/>
    </xf>
    <xf numFmtId="164" fontId="5" fillId="4" borderId="19" applyAlignment="1" pivotButton="0" quotePrefix="0" xfId="0">
      <alignment vertical="top" wrapText="1"/>
    </xf>
    <xf numFmtId="3" fontId="5" fillId="4" borderId="19" applyAlignment="1" pivotButton="0" quotePrefix="0" xfId="0">
      <alignment vertical="top" wrapText="1"/>
    </xf>
    <xf numFmtId="166" fontId="5" fillId="4" borderId="18" applyAlignment="1" pivotButton="0" quotePrefix="0" xfId="0">
      <alignment vertical="center"/>
    </xf>
    <xf numFmtId="0" fontId="10" fillId="8" borderId="0" applyAlignment="1" pivotButton="0" quotePrefix="0" xfId="0">
      <alignment vertical="center" wrapText="1"/>
    </xf>
    <xf numFmtId="0" fontId="6" fillId="6" borderId="18" applyAlignment="1" pivotButton="0" quotePrefix="0" xfId="0">
      <alignment vertical="center"/>
    </xf>
    <xf numFmtId="167" fontId="5" fillId="4" borderId="18" applyAlignment="1" pivotButton="0" quotePrefix="0" xfId="0">
      <alignment vertical="center"/>
    </xf>
    <xf numFmtId="0" fontId="5" fillId="4" borderId="17" applyAlignment="1" pivotButton="0" quotePrefix="0" xfId="0">
      <alignment vertical="center" wrapText="1"/>
    </xf>
  </cellXfs>
  <cellStyles count="1">
    <cellStyle name="Normal" xfId="0"/>
  </cellStyles>
  <dxfs count="14">
    <dxf>
      <font>
        <b val="1"/>
        <color rgb="FF2F6B43"/>
      </font>
      <fill>
        <patternFill patternType="solid">
          <bgColor rgb="FFE4F2E8"/>
        </patternFill>
      </fill>
    </dxf>
    <dxf>
      <font>
        <b val="1"/>
        <color rgb="FF9C3F3B"/>
      </font>
      <fill>
        <patternFill patternType="solid">
          <bgColor rgb="FFFBE4E3"/>
        </patternFill>
      </fill>
    </dxf>
    <dxf>
      <font>
        <color rgb="FF8A5C14"/>
      </font>
      <fill>
        <patternFill patternType="solid">
          <bgColor rgb="FFFFF1D3"/>
        </patternFill>
      </fill>
    </dxf>
    <dxf>
      <font>
        <b val="1"/>
        <color rgb="FF2F6B43"/>
      </font>
      <fill>
        <patternFill patternType="solid">
          <bgColor rgb="FFE4F2E8"/>
        </patternFill>
      </fill>
    </dxf>
    <dxf>
      <font>
        <b val="1"/>
        <color rgb="FF9C3F3B"/>
      </font>
      <fill>
        <patternFill patternType="solid">
          <bgColor rgb="FFFBE4E3"/>
        </patternFill>
      </fill>
    </dxf>
    <dxf>
      <font>
        <color rgb="FF8A5C14"/>
      </font>
      <fill>
        <patternFill patternType="solid">
          <bgColor rgb="FFFFF1D3"/>
        </patternFill>
      </fill>
    </dxf>
    <dxf>
      <font>
        <b val="1"/>
        <color rgb="FF2F6B43"/>
      </font>
      <fill>
        <patternFill patternType="solid">
          <bgColor rgb="FFE4F2E8"/>
        </patternFill>
      </fill>
    </dxf>
    <dxf>
      <font>
        <b val="1"/>
        <color rgb="FF9C3F3B"/>
      </font>
      <fill>
        <patternFill patternType="solid">
          <bgColor rgb="FFFBE4E3"/>
        </patternFill>
      </fill>
    </dxf>
    <dxf>
      <font>
        <color rgb="FF8A5C14"/>
      </font>
      <fill>
        <patternFill patternType="solid">
          <bgColor rgb="FFFFF1D3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User</author>
  </authors>
  <commentList>
    <comment ref="A4" authorId="0" shapeId="0">
      <text>
        <t>本表不是正式商品导入依据；第一阶段可只保留表结构。</t>
      </text>
    </comment>
  </commentList>
</comments>
</file>

<file path=xl/tables/table1.xml><?xml version="1.0" encoding="utf-8"?>
<table xmlns="http://schemas.openxmlformats.org/spreadsheetml/2006/main" id="1" name="CrystalMasterTable" displayName="CrystalMasterTable" ref="A4:Q54" headerRowCount="1" totalsRowCount="0" totalsRowShown="0">
  <tableColumns count="17">
    <tableColumn id="1" name="导入状态"/>
    <tableColumn id="2" name="crystal_id*"/>
    <tableColumn id="3" name="中文名*"/>
    <tableColumn id="4" name="英文名*"/>
    <tableColumn id="5" name="矿物学名称*"/>
    <tableColumn id="6" name="宝石学信息"/>
    <tableColumn id="7" name="颜色标签*"/>
    <tableColumn id="8" name="视觉标签*"/>
    <tableColumn id="9" name="风格标签*"/>
    <tableColumn id="10" name="情绪标签"/>
    <tableColumn id="11" name="文化标签"/>
    <tableColumn id="12" name="价格等级*"/>
    <tableColumn id="13" name="市场供应情况"/>
    <tableColumn id="14" name="图片参考"/>
    <tableColumn id="15" name="合规说明*"/>
    <tableColumn id="16" name="备注"/>
    <tableColumn id="17" name="负责人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eadSkuTable" displayName="BeadSkuTable" ref="A4:AG104" headerRowCount="1">
  <autoFilter ref="A4:AG104"/>
  <tableColumns count="33">
    <tableColumn id="1" name="导入状态"/>
    <tableColumn id="2" name="product_id*"/>
    <tableColumn id="3" name="sku*"/>
    <tableColumn id="4" name="crystal_id*"/>
    <tableColumn id="5" name="商品名称*"/>
    <tableColumn id="6" name="形状*"/>
    <tableColumn id="7" name="直径_mm"/>
    <tableColumn id="8" name="长度_mm"/>
    <tableColumn id="9" name="宽度_mm"/>
    <tableColumn id="10" name="高度_mm"/>
    <tableColumn id="11" name="孔径_mm"/>
    <tableColumn id="12" name="切面类型"/>
    <tableColumn id="13" name="市场品质等级*"/>
    <tableColumn id="14" name="品质信息来源*"/>
    <tableColumn id="15" name="品质备注"/>
    <tableColumn id="16" name="计价单位*"/>
    <tableColumn id="17" name="单位包含数量*"/>
    <tableColumn id="18" name="每串颗数"/>
    <tableColumn id="19" name="串长_mm"/>
    <tableColumn id="20" name="默认损耗率*"/>
    <tableColumn id="21" name="material_key*"/>
    <tableColumn id="22" name="model_asset_key"/>
    <tableColumn id="23" name="texture_asset_key"/>
    <tableColumn id="24" name="商品主图文件名*"/>
    <tableColumn id="25" name="是否经过人工确认*"/>
    <tableColumn id="26" name="是否适合进入AI设计库*"/>
    <tableColumn id="27" name="是否上架*"/>
    <tableColumn id="28" name="展示排序"/>
    <tableColumn id="29" name="备注"/>
    <tableColumn id="30" name="币种*（保留业务字段）"/>
    <tableColumn id="31" name="售价_最小单位*（保留业务字段）"/>
    <tableColumn id="32" name="成本_最小单位*（保留业务字段）"/>
    <tableColumn id="33" name="可用库存*（保留业务字段）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id="3" name="AccessorySkuTable" displayName="AccessorySkuTable" ref="A4:R54" headerRowCount="1" totalsRowCount="0" totalsRowShown="0">
  <tableColumns count="18">
    <tableColumn id="1" name="导入状态"/>
    <tableColumn id="2" name="product_id*"/>
    <tableColumn id="3" name="sku*"/>
    <tableColumn id="4" name="配件类型*"/>
    <tableColumn id="5" name="材质*"/>
    <tableColumn id="6" name="表面处理*"/>
    <tableColumn id="7" name="直径_mm"/>
    <tableColumn id="8" name="宽度_mm"/>
    <tableColumn id="9" name="高度_mm"/>
    <tableColumn id="10" name="深度_mm"/>
    <tableColumn id="11" name="币种*"/>
    <tableColumn id="12" name="售价_最小单位*"/>
    <tableColumn id="13" name="成本_最小单位*"/>
    <tableColumn id="14" name="model_asset_key"/>
    <tableColumn id="15" name="texture_asset_key"/>
    <tableColumn id="16" name="商品图片文件名*"/>
    <tableColumn id="17" name="可用库存*"/>
    <tableColumn id="18" name="是否上架*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InventoryLotTable" displayName="InventoryLotTable" ref="A4:U104" headerRowCount="1">
  <autoFilter ref="A4:U104"/>
  <tableColumns count="21">
    <tableColumn id="1" name="导入状态"/>
    <tableColumn id="2" name="lot_id*"/>
    <tableColumn id="3" name="sku*"/>
    <tableColumn id="4" name="供应商编号"/>
    <tableColumn id="5" name="供应商名称"/>
    <tableColumn id="6" name="采购日期"/>
    <tableColumn id="7" name="到货日期"/>
    <tableColumn id="8" name="批次数量*"/>
    <tableColumn id="9" name="当前可用数量*"/>
    <tableColumn id="10" name="锁定数量*"/>
    <tableColumn id="11" name="单位*"/>
    <tableColumn id="12" name="批次成本*"/>
    <tableColumn id="13" name="币种*"/>
    <tableColumn id="14" name="市场品质等级*"/>
    <tableColumn id="15" name="品质信息来源*"/>
    <tableColumn id="16" name="批次外观备注"/>
    <tableColumn id="17" name="是否有实拍图片*"/>
    <tableColumn id="18" name="是否经过人工确认*"/>
    <tableColumn id="19" name="是否可用于 AI 推荐*"/>
    <tableColumn id="20" name="质检状态*"/>
    <tableColumn id="21" name="备注"/>
  </tableColumns>
  <tableStyleInfo name="TableStyleMedium4" showFirstColumn="0" showLastColumn="0" showRowStripes="0" showColumnStripes="0"/>
</table>
</file>

<file path=xl/tables/table5.xml><?xml version="1.0" encoding="utf-8"?>
<table xmlns="http://schemas.openxmlformats.org/spreadsheetml/2006/main" id="5" name="ImageAssetTable" displayName="ImageAssetTable" ref="A4:Z104" headerRowCount="1">
  <autoFilter ref="A4:Z104"/>
  <tableColumns count="26">
    <tableColumn id="1" name="导入状态"/>
    <tableColumn id="2" name="image_id*"/>
    <tableColumn id="3" name="crystal_id"/>
    <tableColumn id="4" name="sku"/>
    <tableColumn id="5" name="lot_id"/>
    <tableColumn id="6" name="文件名*"/>
    <tableColumn id="7" name="相对路径*"/>
    <tableColumn id="8" name="image_type*"/>
    <tableColumn id="9" name="是否真实实拍*"/>
    <tableColumn id="10" name="来源类型*"/>
    <tableColumn id="11" name="来源平台"/>
    <tableColumn id="12" name="来源链接"/>
    <tableColumn id="13" name="来源作者或供应商"/>
    <tableColumn id="14" name="使用权限*"/>
    <tableColumn id="15" name="是否允许 AI 训练*"/>
    <tableColumn id="16" name="是否允许商业使用*"/>
    <tableColumn id="17" name="是否允许公开展示*"/>
    <tableColumn id="18" name="市场品质等级*"/>
    <tableColumn id="19" name="品质信息来源*"/>
    <tableColumn id="20" name="是否代表当前实际货品*"/>
    <tableColumn id="21" name="是否过度修图*"/>
    <tableColumn id="22" name="是否疑似 AI 图片*"/>
    <tableColumn id="23" name="文件哈希"/>
    <tableColumn id="24" name="人工复核状态*"/>
    <tableColumn id="25" name="复核人"/>
    <tableColumn id="26" name="备注"/>
  </tableColumns>
  <tableStyleInfo name="TableStyleMedium4" showFirstColumn="0" showLastColumn="0" showRowStripes="0" showColumnStripes="0"/>
</table>
</file>

<file path=xl/tables/table6.xml><?xml version="1.0" encoding="utf-8"?>
<table xmlns="http://schemas.openxmlformats.org/spreadsheetml/2006/main" id="6" name="AiAnalysisResultTable" displayName="AiAnalysisResultTable" ref="A4:O104" headerRowCount="1">
  <autoFilter ref="A4:O104"/>
  <tableColumns count="15">
    <tableColumn id="1" name="analysis_id"/>
    <tableColumn id="2" name="image_id"/>
    <tableColumn id="3" name="sku"/>
    <tableColumn id="4" name="model_name"/>
    <tableColumn id="5" name="model_version"/>
    <tableColumn id="6" name="analyzed_at"/>
    <tableColumn id="7" name="estimated_transparency"/>
    <tableColumn id="8" name="estimated_inclusion"/>
    <tableColumn id="9" name="estimated_crack_level"/>
    <tableColumn id="10" name="estimated_color_uniformity"/>
    <tableColumn id="11" name="estimated_surface_condition"/>
    <tableColumn id="12" name="estimated_visual_quality"/>
    <tableColumn id="13" name="confidence_score"/>
    <tableColumn id="14" name="requires_manual_review"/>
    <tableColumn id="15" name="analysis_note"/>
  </tableColumns>
  <tableStyleInfo name="TableStyleMedium4" showFirstColumn="0" showLastColumn="0" showRowStripes="0" showColumnStripes="0"/>
</table>
</file>

<file path=xl/tables/table7.xml><?xml version="1.0" encoding="utf-8"?>
<table xmlns="http://schemas.openxmlformats.org/spreadsheetml/2006/main" id="7" name="FieldDictionaryTable" displayName="FieldDictionaryTable" ref="A4:G35" headerRowCount="1" totalsRowCount="0" totalsRowShown="0">
  <tableColumns count="7">
    <tableColumn id="1" name="工作表"/>
    <tableColumn id="2" name="字段"/>
    <tableColumn id="3" name="是否必填"/>
    <tableColumn id="4" name="数据类型"/>
    <tableColumn id="5" name="示例"/>
    <tableColumn id="6" name="说明"/>
    <tableColumn id="7" name="数据库映射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534052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A1" s="3" t="inlineStr">
        <is>
          <t>玄矶 Mystcrag｜珠子商品库导入模板 V1.0 简化优化版</t>
        </is>
      </c>
    </row>
    <row r="2" ht="28" customHeight="1"/>
    <row r="4">
      <c r="A4" s="6" t="inlineStr">
        <is>
          <t>填写顺序</t>
        </is>
      </c>
    </row>
    <row r="5">
      <c r="A5" s="45" t="inlineStr">
        <is>
          <t>步骤</t>
        </is>
      </c>
      <c r="B5" s="46" t="inlineStr">
        <is>
          <t>操作</t>
        </is>
      </c>
      <c r="C5" s="51" t="inlineStr">
        <is>
          <t>说明</t>
        </is>
      </c>
      <c r="D5" s="110" t="n"/>
      <c r="E5" s="110" t="n"/>
      <c r="F5" s="110" t="n"/>
      <c r="G5" s="110" t="n"/>
      <c r="H5" s="111" t="n"/>
    </row>
    <row r="6">
      <c r="A6" s="35" t="n">
        <v>1</v>
      </c>
      <c r="B6" s="36" t="inlineStr">
        <is>
          <t>先填写「水晶主数据」</t>
        </is>
      </c>
      <c r="C6" s="36" t="inlineStr">
        <is>
          <t>一种水晶只录一行，例如海蓝宝。标签使用英文逗号分隔。</t>
        </is>
      </c>
      <c r="D6" s="112" t="n"/>
      <c r="E6" s="112" t="n"/>
      <c r="F6" s="112" t="n"/>
      <c r="G6" s="112" t="n"/>
      <c r="H6" s="9" t="n"/>
    </row>
    <row r="7">
      <c r="A7" s="35" t="n">
        <v>2</v>
      </c>
      <c r="B7" s="36" t="inlineStr">
        <is>
          <t>再填写「珠子SKU」</t>
        </is>
      </c>
      <c r="C7" s="36" t="inlineStr">
        <is>
          <t>每个“水晶种类 + 形状 + 尺寸 + 工艺”对应一个 SKU；不按图片漂亮程度猜品质。</t>
        </is>
      </c>
      <c r="D7" s="112" t="n"/>
      <c r="E7" s="112" t="n"/>
      <c r="F7" s="112" t="n"/>
      <c r="G7" s="112" t="n"/>
      <c r="H7" s="9" t="n"/>
    </row>
    <row r="8">
      <c r="A8" s="35" t="n">
        <v>3</v>
      </c>
      <c r="B8" s="36" t="inlineStr">
        <is>
          <t>可选填写「配件SKU」</t>
        </is>
      </c>
      <c r="C8" s="36" t="inlineStr">
        <is>
          <t>保留原配件录入结构；隔珠、吊坠、跑环等单独录入。</t>
        </is>
      </c>
      <c r="D8" s="112" t="n"/>
      <c r="E8" s="112" t="n"/>
      <c r="F8" s="112" t="n"/>
      <c r="G8" s="112" t="n"/>
      <c r="H8" s="9" t="n"/>
    </row>
    <row r="10">
      <c r="A10" s="6" t="inlineStr">
        <is>
          <t>关键规则</t>
        </is>
      </c>
    </row>
    <row r="11">
      <c r="A11" s="65" t="inlineStr">
        <is>
          <t>规则</t>
        </is>
      </c>
      <c r="B11" s="51" t="inlineStr">
        <is>
          <t>要求</t>
        </is>
      </c>
      <c r="C11" s="110" t="n"/>
      <c r="D11" s="110" t="n"/>
      <c r="E11" s="110" t="n"/>
      <c r="F11" s="110" t="n"/>
      <c r="G11" s="110" t="n"/>
      <c r="H11" s="111" t="n"/>
    </row>
    <row r="12">
      <c r="A12" s="35" t="inlineStr">
        <is>
          <t>唯一标识</t>
        </is>
      </c>
      <c r="B12" s="36" t="inlineStr">
        <is>
          <t>crystal_id、product_id、sku 不可重复；建议使用英文小写和连字符。</t>
        </is>
      </c>
      <c r="C12" s="112" t="n"/>
      <c r="D12" s="112" t="n"/>
      <c r="E12" s="112" t="n"/>
      <c r="F12" s="112" t="n"/>
      <c r="G12" s="112" t="n"/>
      <c r="H12" s="9" t="n"/>
    </row>
    <row r="13">
      <c r="A13" s="35" t="inlineStr">
        <is>
          <t>价格单位</t>
        </is>
      </c>
      <c r="B13" s="36" t="inlineStr">
        <is>
          <t>CNY 售价/成本填写“分”，例如 ¥12.00 填 1200；TWD 填整数元。</t>
        </is>
      </c>
      <c r="C13" s="112" t="n"/>
      <c r="D13" s="112" t="n"/>
      <c r="E13" s="112" t="n"/>
      <c r="F13" s="112" t="n"/>
      <c r="G13" s="112" t="n"/>
      <c r="H13" s="9" t="n"/>
    </row>
    <row r="14">
      <c r="A14" s="35" t="inlineStr">
        <is>
          <t>图片</t>
        </is>
      </c>
      <c r="B14" s="36" t="inlineStr">
        <is>
          <t>推荐透明背景 PNG/WebP，正方形，至少 800×800；文件名需与图片文件夹一致。</t>
        </is>
      </c>
      <c r="C14" s="112" t="n"/>
      <c r="D14" s="112" t="n"/>
      <c r="E14" s="112" t="n"/>
      <c r="F14" s="112" t="n"/>
      <c r="G14" s="112" t="n"/>
      <c r="H14" s="9" t="n"/>
    </row>
    <row r="15">
      <c r="A15" s="35" t="inlineStr">
        <is>
          <t>合规</t>
        </is>
      </c>
      <c r="B15" s="36" t="inlineStr">
        <is>
          <t>只描述材质、外观与文化设计灵感，不填写医疗功效、保证效果或确定性运势表述。</t>
        </is>
      </c>
      <c r="C15" s="112" t="n"/>
      <c r="D15" s="112" t="n"/>
      <c r="E15" s="112" t="n"/>
      <c r="F15" s="112" t="n"/>
      <c r="G15" s="112" t="n"/>
      <c r="H15" s="9" t="n"/>
    </row>
    <row r="16">
      <c r="A16" s="61" t="inlineStr">
        <is>
          <t>导入状态</t>
        </is>
      </c>
      <c r="B16" s="62" t="inlineStr">
        <is>
          <t>每张数据表首列会自动提示“可导入 / 请补全必填 / 待填写”。</t>
        </is>
      </c>
      <c r="C16" s="113" t="n"/>
      <c r="D16" s="113" t="n"/>
      <c r="E16" s="113" t="n"/>
      <c r="F16" s="113" t="n"/>
      <c r="G16" s="113" t="n"/>
      <c r="H16" s="11" t="n"/>
    </row>
    <row r="18">
      <c r="A18" s="33" t="inlineStr">
        <is>
          <t>交付建议</t>
        </is>
      </c>
      <c r="B18" s="34" t="inlineStr">
        <is>
          <t>首批建议先录入 30–50 款主力 SKU，再补齐库存批次与真实图片。</t>
        </is>
      </c>
      <c r="C18" s="110" t="n"/>
      <c r="D18" s="110" t="n"/>
      <c r="E18" s="110" t="n"/>
      <c r="F18" s="110" t="n"/>
      <c r="G18" s="110" t="n"/>
      <c r="H18" s="7" t="n"/>
    </row>
    <row r="19">
      <c r="A19" s="35" t="inlineStr">
        <is>
          <t>颜色说明</t>
        </is>
      </c>
      <c r="B19" s="36" t="inlineStr">
        <is>
          <t>图片采用一张一行，优先保存当前批次实拍、原始来源和明确权限。</t>
        </is>
      </c>
      <c r="C19" s="112" t="n"/>
      <c r="D19" s="112" t="n"/>
      <c r="E19" s="112" t="n"/>
      <c r="F19" s="112" t="n"/>
      <c r="G19" s="112" t="n"/>
      <c r="H19" s="9" t="n"/>
    </row>
    <row r="20">
      <c r="A20" s="61" t="inlineStr">
        <is>
          <t>当前模板</t>
        </is>
      </c>
      <c r="B20" s="62" t="inlineStr">
        <is>
          <t>本版新增库存批次、图片资产与隔离的 AI 分析结果；原始模板未被覆盖。</t>
        </is>
      </c>
      <c r="C20" s="113" t="n"/>
      <c r="D20" s="113" t="n"/>
      <c r="E20" s="113" t="n"/>
      <c r="F20" s="113" t="n"/>
      <c r="G20" s="113" t="n"/>
      <c r="H20" s="11" t="n"/>
    </row>
    <row r="22">
      <c r="A22" s="6" t="inlineStr">
        <is>
          <t>品质与 AI 边界</t>
        </is>
      </c>
    </row>
    <row r="23" ht="26" customHeight="1">
      <c r="A23" s="114" t="inlineStr">
        <is>
          <t>品质口径</t>
        </is>
      </c>
      <c r="B23" s="115" t="inlineStr">
        <is>
          <t>市场品质仅允许 COMMERCIAL_A / NEAR_COMMERCIAL_A / UNKNOWN。</t>
        </is>
      </c>
    </row>
    <row r="24" ht="26" customHeight="1">
      <c r="A24" s="114" t="inlineStr">
        <is>
          <t>商业描述</t>
        </is>
      </c>
      <c r="B24" s="115" t="inlineStr">
        <is>
          <t>A 级是市场/供应商常用商业描述，不是统一国家标准、实验室评级或宝石学结论。</t>
        </is>
      </c>
    </row>
    <row r="25" ht="26" customHeight="1">
      <c r="A25" s="114" t="inlineStr">
        <is>
          <t>不要求填写</t>
        </is>
      </c>
      <c r="B25" s="115" t="inlineStr">
        <is>
          <t>透明度、棉絮、冰裂、黑点、矿缺、包裹体、颜色均匀度、处理方式等专业判断。</t>
        </is>
      </c>
    </row>
    <row r="26" ht="26" customHeight="1">
      <c r="A26" s="114" t="inlineStr">
        <is>
          <t>图片规则</t>
        </is>
      </c>
      <c r="B26" s="115" t="inlineStr">
        <is>
          <t>一张图片一行；保存来源、授权、实拍/AI 属性，不由程序自动猜品质。</t>
        </is>
      </c>
    </row>
    <row r="27" ht="26" customHeight="1">
      <c r="A27" s="114" t="inlineStr">
        <is>
          <t>AI 分析</t>
        </is>
      </c>
      <c r="B27" s="115" t="inlineStr">
        <is>
          <t>仅写入「AI分析结果」，明确为模型估算；不得覆盖正式商品数据。</t>
        </is>
      </c>
    </row>
    <row r="28" ht="26" customHeight="1">
      <c r="A28" s="114" t="inlineStr">
        <is>
          <t>低置信度</t>
        </is>
      </c>
      <c r="B28" s="115" t="inlineStr">
        <is>
          <t>填写 UNKNOWN 并标记 requires_manual_review=TRUE。</t>
        </is>
      </c>
    </row>
    <row r="29" ht="26" customHeight="1">
      <c r="A29" s="114" t="inlineStr">
        <is>
          <t>推荐门槛</t>
        </is>
      </c>
      <c r="B29" s="115" t="inlineStr">
        <is>
          <t>优先使用人工确认、真实批次图、有库存、有效价格、权限清晰且允许进入 AI 设计库的 SKU。</t>
        </is>
      </c>
    </row>
    <row r="30" ht="26" customHeight="1">
      <c r="A30" s="114" t="inlineStr">
        <is>
          <t>统一提示</t>
        </is>
      </c>
      <c r="B30" s="115" t="inlineStr">
        <is>
          <t>天然水晶不同珠子及不同批次可能存在颜色、纹理、棉裂和包裹体差异，具体以当前批次实拍图片为准。</t>
        </is>
      </c>
    </row>
  </sheetData>
  <mergeCells count="25">
    <mergeCell ref="B24:H24"/>
    <mergeCell ref="B30:H30"/>
    <mergeCell ref="B15:H15"/>
    <mergeCell ref="B20:H20"/>
    <mergeCell ref="B26:H26"/>
    <mergeCell ref="C8:H8"/>
    <mergeCell ref="B16:H16"/>
    <mergeCell ref="B25:H25"/>
    <mergeCell ref="C7:H7"/>
    <mergeCell ref="B18:H18"/>
    <mergeCell ref="B27:H27"/>
    <mergeCell ref="B12:H12"/>
    <mergeCell ref="B11:H11"/>
    <mergeCell ref="A1:H2"/>
    <mergeCell ref="A22:H22"/>
    <mergeCell ref="B23:H23"/>
    <mergeCell ref="A4:H4"/>
    <mergeCell ref="B14:H14"/>
    <mergeCell ref="C6:H6"/>
    <mergeCell ref="B13:H13"/>
    <mergeCell ref="C5:H5"/>
    <mergeCell ref="A10:H10"/>
    <mergeCell ref="B29:H29"/>
    <mergeCell ref="B19:H19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6B4F68"/>
    <outlinePr summaryBelow="1" summaryRight="1"/>
    <pageSetUpPr/>
  </sheetPr>
  <dimension ref="A1:Q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16" customWidth="1" min="12" max="12"/>
    <col width="1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>
      <c r="A1" s="3" t="inlineStr">
        <is>
          <t>水晶主数据｜一种水晶一行</t>
        </is>
      </c>
    </row>
    <row r="2"/>
    <row r="4">
      <c r="A4" s="79" t="inlineStr">
        <is>
          <t>导入状态</t>
        </is>
      </c>
      <c r="B4" s="80" t="inlineStr">
        <is>
          <t>crystal_id*</t>
        </is>
      </c>
      <c r="C4" s="80" t="inlineStr">
        <is>
          <t>中文名*</t>
        </is>
      </c>
      <c r="D4" s="80" t="inlineStr">
        <is>
          <t>英文名*</t>
        </is>
      </c>
      <c r="E4" s="80" t="inlineStr">
        <is>
          <t>矿物学名称*</t>
        </is>
      </c>
      <c r="F4" s="80" t="inlineStr">
        <is>
          <t>宝石学信息</t>
        </is>
      </c>
      <c r="G4" s="80" t="inlineStr">
        <is>
          <t>颜色标签*</t>
        </is>
      </c>
      <c r="H4" s="80" t="inlineStr">
        <is>
          <t>视觉标签*</t>
        </is>
      </c>
      <c r="I4" s="80" t="inlineStr">
        <is>
          <t>风格标签*</t>
        </is>
      </c>
      <c r="J4" s="80" t="inlineStr">
        <is>
          <t>情绪标签</t>
        </is>
      </c>
      <c r="K4" s="80" t="inlineStr">
        <is>
          <t>文化标签</t>
        </is>
      </c>
      <c r="L4" s="80" t="inlineStr">
        <is>
          <t>价格等级*</t>
        </is>
      </c>
      <c r="M4" s="80" t="inlineStr">
        <is>
          <t>市场供应情况</t>
        </is>
      </c>
      <c r="N4" s="80" t="inlineStr">
        <is>
          <t>图片参考</t>
        </is>
      </c>
      <c r="O4" s="80" t="inlineStr">
        <is>
          <t>合规说明*</t>
        </is>
      </c>
      <c r="P4" s="80" t="inlineStr">
        <is>
          <t>备注</t>
        </is>
      </c>
      <c r="Q4" s="81" t="inlineStr">
        <is>
          <t>负责人</t>
        </is>
      </c>
    </row>
    <row r="5">
      <c r="A5" s="116">
        <f>IF(COUNTA(B5:Q5)=0,"待填写",IF(OR(B5="",C5="",D5="",E5="",G5="",H5="",I5="",NOT(ISNUMBER(L5)),O5=""),"请补全必填",IF(COUNTIF($B$5:$B$54,B5)&gt;1,"ID重复",IF(ISNA(MATCH(M5,'_枚举'!$T$2:$T$5,0)),"枚举错误",IF(OR(NOT(ISNUMBER(L5)),L5&lt;1,L5&gt;5),"格式错误","可导入")))))</f>
        <v/>
      </c>
      <c r="B5" s="89" t="inlineStr">
        <is>
          <t>crystal-aquamarine</t>
        </is>
      </c>
      <c r="C5" s="89" t="inlineStr">
        <is>
          <t>海蓝宝</t>
        </is>
      </c>
      <c r="D5" s="89" t="inlineStr">
        <is>
          <t>Aquamarine</t>
        </is>
      </c>
      <c r="E5" s="89" t="inlineStr">
        <is>
          <t>Beryl</t>
        </is>
      </c>
      <c r="F5" s="89" t="inlineStr">
        <is>
          <t>family=Beryl;use=jewelry design reference</t>
        </is>
      </c>
      <c r="G5" s="89" t="inlineStr">
        <is>
          <t>blue,cool,translucent</t>
        </is>
      </c>
      <c r="H5" s="89" t="inlineStr">
        <is>
          <t>clear,ocean-blue,elegant</t>
        </is>
      </c>
      <c r="I5" s="89" t="inlineStr">
        <is>
          <t>minimal,contemporary-eastern</t>
        </is>
      </c>
      <c r="J5" s="89" t="inlineStr">
        <is>
          <t>calm-aesthetic</t>
        </is>
      </c>
      <c r="K5" s="89" t="inlineStr">
        <is>
          <t>design-inspiration-only</t>
        </is>
      </c>
      <c r="L5" s="117" t="n">
        <v>2</v>
      </c>
      <c r="M5" s="89" t="inlineStr">
        <is>
          <t>regular</t>
        </is>
      </c>
      <c r="N5" s="89" t="inlineStr">
        <is>
          <t>aquamarine.png</t>
        </is>
      </c>
      <c r="O5" s="89" t="inlineStr">
        <is>
          <t>仅作材质与文化设计参考，不代表医疗或保证效果。</t>
        </is>
      </c>
      <c r="P5" s="89" t="inlineStr">
        <is>
          <t>示例，可修改</t>
        </is>
      </c>
      <c r="Q5" s="89" t="str"/>
    </row>
    <row r="6">
      <c r="A6" s="118">
        <f>IF(COUNTA(B6:Q6)=0,"待填写",IF(OR(B6="",C6="",D6="",E6="",G6="",H6="",I6="",NOT(ISNUMBER(L6)),O6=""),"请补全必填",IF(COUNTIF($B$5:$B$54,B6)&gt;1,"ID重复",IF(ISNA(MATCH(M6,'_枚举'!$T$2:$T$5,0)),"枚举错误",IF(OR(NOT(ISNUMBER(L6)),L6&lt;1,L6&gt;5),"格式错误","可导入")))))</f>
        <v/>
      </c>
      <c r="B6" s="90" t="inlineStr">
        <is>
          <t>crystal-moonstone</t>
        </is>
      </c>
      <c r="C6" s="90" t="inlineStr">
        <is>
          <t>月光石</t>
        </is>
      </c>
      <c r="D6" s="90" t="inlineStr">
        <is>
          <t>Moonstone</t>
        </is>
      </c>
      <c r="E6" s="90" t="inlineStr">
        <is>
          <t>Feldspar</t>
        </is>
      </c>
      <c r="F6" s="90" t="inlineStr">
        <is>
          <t>family=Feldspar;use=jewelry design reference</t>
        </is>
      </c>
      <c r="G6" s="90" t="inlineStr">
        <is>
          <t>white,blue,iridescent</t>
        </is>
      </c>
      <c r="H6" s="90" t="inlineStr">
        <is>
          <t>soft,glow,translucent</t>
        </is>
      </c>
      <c r="I6" s="90" t="inlineStr">
        <is>
          <t>romantic,minimal</t>
        </is>
      </c>
      <c r="J6" s="90" t="inlineStr">
        <is>
          <t>gentle-aesthetic</t>
        </is>
      </c>
      <c r="K6" s="90" t="inlineStr">
        <is>
          <t>design-inspiration-only</t>
        </is>
      </c>
      <c r="L6" s="119" t="n">
        <v>2</v>
      </c>
      <c r="M6" s="90" t="inlineStr">
        <is>
          <t>regular</t>
        </is>
      </c>
      <c r="N6" s="90" t="inlineStr">
        <is>
          <t>moonstone.png</t>
        </is>
      </c>
      <c r="O6" s="90" t="inlineStr">
        <is>
          <t>仅作材质与文化设计参考，不代表医疗或保证效果。</t>
        </is>
      </c>
      <c r="P6" s="90" t="inlineStr">
        <is>
          <t>示例，可修改</t>
        </is>
      </c>
      <c r="Q6" s="90" t="str"/>
    </row>
    <row r="7">
      <c r="A7" s="118">
        <f>IF(COUNTA(B7:Q7)=0,"待填写",IF(OR(B7="",C7="",D7="",E7="",G7="",H7="",I7="",NOT(ISNUMBER(L7)),O7=""),"请补全必填",IF(COUNTIF($B$5:$B$54,B7)&gt;1,"ID重复",IF(ISNA(MATCH(M7,'_枚举'!$T$2:$T$5,0)),"枚举错误",IF(OR(NOT(ISNUMBER(L7)),L7&lt;1,L7&gt;5),"格式错误","可导入")))))</f>
        <v/>
      </c>
      <c r="B7" s="90" t="inlineStr">
        <is>
          <t>crystal-clear-quartz</t>
        </is>
      </c>
      <c r="C7" s="90" t="inlineStr">
        <is>
          <t>白水晶</t>
        </is>
      </c>
      <c r="D7" s="90" t="inlineStr">
        <is>
          <t>Clear Quartz</t>
        </is>
      </c>
      <c r="E7" s="90" t="inlineStr">
        <is>
          <t>Quartz</t>
        </is>
      </c>
      <c r="F7" s="90" t="inlineStr">
        <is>
          <t>family=Quartz;use=jewelry design reference</t>
        </is>
      </c>
      <c r="G7" s="90" t="inlineStr">
        <is>
          <t>clear,white,neutral</t>
        </is>
      </c>
      <c r="H7" s="90" t="inlineStr">
        <is>
          <t>clear,clean,transparent</t>
        </is>
      </c>
      <c r="I7" s="90" t="inlineStr">
        <is>
          <t>minimal,classic</t>
        </is>
      </c>
      <c r="J7" s="90" t="inlineStr">
        <is>
          <t>clean-aesthetic</t>
        </is>
      </c>
      <c r="K7" s="90" t="inlineStr">
        <is>
          <t>design-inspiration-only</t>
        </is>
      </c>
      <c r="L7" s="119" t="n">
        <v>1</v>
      </c>
      <c r="M7" s="90" t="inlineStr">
        <is>
          <t>regular</t>
        </is>
      </c>
      <c r="N7" s="90" t="inlineStr">
        <is>
          <t>clear-quartz.png</t>
        </is>
      </c>
      <c r="O7" s="90" t="inlineStr">
        <is>
          <t>仅作材质与文化设计参考，不代表医疗或保证效果。</t>
        </is>
      </c>
      <c r="P7" s="90" t="inlineStr">
        <is>
          <t>示例，可修改</t>
        </is>
      </c>
      <c r="Q7" s="90" t="str"/>
    </row>
    <row r="8">
      <c r="A8" s="118">
        <f>IF(COUNTA(B8:Q8)=0,"待填写",IF(OR(B8="",C8="",D8="",E8="",G8="",H8="",I8="",NOT(ISNUMBER(L8)),O8=""),"请补全必填",IF(COUNTIF($B$5:$B$54,B8)&gt;1,"ID重复",IF(ISNA(MATCH(M8,'_枚举'!$T$2:$T$5,0)),"枚举错误",IF(OR(NOT(ISNUMBER(L8)),L8&lt;1,L8&gt;5),"格式错误","可导入")))))</f>
        <v/>
      </c>
      <c r="B8" s="90" t="inlineStr">
        <is>
          <t>crystal-amethyst</t>
        </is>
      </c>
      <c r="C8" s="90" t="inlineStr">
        <is>
          <t>紫水晶</t>
        </is>
      </c>
      <c r="D8" s="90" t="inlineStr">
        <is>
          <t>Amethyst</t>
        </is>
      </c>
      <c r="E8" s="90" t="inlineStr">
        <is>
          <t>Quartz</t>
        </is>
      </c>
      <c r="F8" s="90" t="inlineStr">
        <is>
          <t>family=Quartz;use=jewelry design reference</t>
        </is>
      </c>
      <c r="G8" s="90" t="inlineStr">
        <is>
          <t>purple,cool,deep</t>
        </is>
      </c>
      <c r="H8" s="90" t="inlineStr">
        <is>
          <t>purple,clear,deep</t>
        </is>
      </c>
      <c r="I8" s="90" t="inlineStr">
        <is>
          <t>elegant,contemporary-eastern</t>
        </is>
      </c>
      <c r="J8" s="90" t="inlineStr">
        <is>
          <t>quiet-aesthetic</t>
        </is>
      </c>
      <c r="K8" s="90" t="inlineStr">
        <is>
          <t>design-inspiration-only</t>
        </is>
      </c>
      <c r="L8" s="119" t="n">
        <v>2</v>
      </c>
      <c r="M8" s="90" t="inlineStr">
        <is>
          <t>regular</t>
        </is>
      </c>
      <c r="N8" s="90" t="inlineStr">
        <is>
          <t>amethyst.png</t>
        </is>
      </c>
      <c r="O8" s="90" t="inlineStr">
        <is>
          <t>仅作材质与文化设计参考，不代表医疗或保证效果。</t>
        </is>
      </c>
      <c r="P8" s="90" t="inlineStr">
        <is>
          <t>示例，可修改</t>
        </is>
      </c>
      <c r="Q8" s="90" t="str"/>
    </row>
    <row r="9">
      <c r="A9" s="118">
        <f>IF(COUNTA(B9:Q9)=0,"待填写",IF(OR(B9="",C9="",D9="",E9="",G9="",H9="",I9="",NOT(ISNUMBER(L9)),O9=""),"请补全必填",IF(COUNTIF($B$5:$B$54,B9)&gt;1,"ID重复",IF(ISNA(MATCH(M9,'_枚举'!$T$2:$T$5,0)),"枚举错误",IF(OR(NOT(ISNUMBER(L9)),L9&lt;1,L9&gt;5),"格式错误","可导入")))))</f>
        <v/>
      </c>
      <c r="B9" s="90" t="inlineStr">
        <is>
          <t>crystal-rose-quartz</t>
        </is>
      </c>
      <c r="C9" s="90" t="inlineStr">
        <is>
          <t>粉水晶</t>
        </is>
      </c>
      <c r="D9" s="90" t="inlineStr">
        <is>
          <t>Rose Quartz</t>
        </is>
      </c>
      <c r="E9" s="90" t="inlineStr">
        <is>
          <t>Quartz</t>
        </is>
      </c>
      <c r="F9" s="90" t="inlineStr">
        <is>
          <t>family=Quartz;use=jewelry design reference</t>
        </is>
      </c>
      <c r="G9" s="90" t="inlineStr">
        <is>
          <t>pink,warm,soft</t>
        </is>
      </c>
      <c r="H9" s="90" t="inlineStr">
        <is>
          <t>pink,soft,milky</t>
        </is>
      </c>
      <c r="I9" s="90" t="inlineStr">
        <is>
          <t>romantic,minimal</t>
        </is>
      </c>
      <c r="J9" s="90" t="inlineStr">
        <is>
          <t>soft-aesthetic</t>
        </is>
      </c>
      <c r="K9" s="90" t="inlineStr">
        <is>
          <t>design-inspiration-only</t>
        </is>
      </c>
      <c r="L9" s="119" t="n">
        <v>1</v>
      </c>
      <c r="M9" s="90" t="inlineStr">
        <is>
          <t>regular</t>
        </is>
      </c>
      <c r="N9" s="90" t="inlineStr">
        <is>
          <t>rose-quartz.png</t>
        </is>
      </c>
      <c r="O9" s="90" t="inlineStr">
        <is>
          <t>仅作材质与文化设计参考，不代表医疗或保证效果。</t>
        </is>
      </c>
      <c r="P9" s="90" t="inlineStr">
        <is>
          <t>示例，可修改</t>
        </is>
      </c>
      <c r="Q9" s="90" t="str"/>
    </row>
    <row r="10">
      <c r="A10" s="118">
        <f>IF(COUNTA(B10:Q10)=0,"待填写",IF(OR(B10="",C10="",D10="",E10="",G10="",H10="",I10="",NOT(ISNUMBER(L10)),O10=""),"请补全必填",IF(COUNTIF($B$5:$B$54,B10)&gt;1,"ID重复",IF(ISNA(MATCH(M10,'_枚举'!$T$2:$T$5,0)),"枚举错误",IF(OR(NOT(ISNUMBER(L10)),L10&lt;1,L10&gt;5),"格式错误","可导入")))))</f>
        <v/>
      </c>
      <c r="B10" s="90" t="str"/>
      <c r="C10" s="90" t="str"/>
      <c r="D10" s="90" t="str"/>
      <c r="E10" s="90" t="str"/>
      <c r="F10" s="90" t="str"/>
      <c r="G10" s="90" t="str"/>
      <c r="H10" s="90" t="str"/>
      <c r="I10" s="90" t="str"/>
      <c r="J10" s="90" t="str"/>
      <c r="K10" s="90" t="str"/>
      <c r="L10" s="119" t="str"/>
      <c r="M10" s="90" t="str"/>
      <c r="N10" s="90" t="str"/>
      <c r="O10" s="90" t="str"/>
      <c r="P10" s="90" t="str"/>
      <c r="Q10" s="90" t="str"/>
    </row>
    <row r="11">
      <c r="A11" s="118">
        <f>IF(COUNTA(B11:Q11)=0,"待填写",IF(OR(B11="",C11="",D11="",E11="",G11="",H11="",I11="",NOT(ISNUMBER(L11)),O11=""),"请补全必填",IF(COUNTIF($B$5:$B$54,B11)&gt;1,"ID重复",IF(ISNA(MATCH(M11,'_枚举'!$T$2:$T$5,0)),"枚举错误",IF(OR(NOT(ISNUMBER(L11)),L11&lt;1,L11&gt;5),"格式错误","可导入")))))</f>
        <v/>
      </c>
      <c r="B11" s="90" t="str"/>
      <c r="C11" s="90" t="str"/>
      <c r="D11" s="90" t="str"/>
      <c r="E11" s="90" t="str"/>
      <c r="F11" s="90" t="str"/>
      <c r="G11" s="90" t="str"/>
      <c r="H11" s="90" t="str"/>
      <c r="I11" s="90" t="str"/>
      <c r="J11" s="90" t="str"/>
      <c r="K11" s="90" t="str"/>
      <c r="L11" s="119" t="str"/>
      <c r="M11" s="90" t="str"/>
      <c r="N11" s="90" t="str"/>
      <c r="O11" s="90" t="str"/>
      <c r="P11" s="90" t="str"/>
      <c r="Q11" s="90" t="str"/>
    </row>
    <row r="12">
      <c r="A12" s="118">
        <f>IF(COUNTA(B12:Q12)=0,"待填写",IF(OR(B12="",C12="",D12="",E12="",G12="",H12="",I12="",NOT(ISNUMBER(L12)),O12=""),"请补全必填",IF(COUNTIF($B$5:$B$54,B12)&gt;1,"ID重复",IF(ISNA(MATCH(M12,'_枚举'!$T$2:$T$5,0)),"枚举错误",IF(OR(NOT(ISNUMBER(L12)),L12&lt;1,L12&gt;5),"格式错误","可导入")))))</f>
        <v/>
      </c>
      <c r="B12" s="90" t="str"/>
      <c r="C12" s="90" t="str"/>
      <c r="D12" s="90" t="str"/>
      <c r="E12" s="90" t="str"/>
      <c r="F12" s="90" t="str"/>
      <c r="G12" s="90" t="str"/>
      <c r="H12" s="90" t="str"/>
      <c r="I12" s="90" t="str"/>
      <c r="J12" s="90" t="str"/>
      <c r="K12" s="90" t="str"/>
      <c r="L12" s="119" t="str"/>
      <c r="M12" s="90" t="str"/>
      <c r="N12" s="90" t="str"/>
      <c r="O12" s="90" t="str"/>
      <c r="P12" s="90" t="str"/>
      <c r="Q12" s="90" t="str"/>
    </row>
    <row r="13">
      <c r="A13" s="118">
        <f>IF(COUNTA(B13:Q13)=0,"待填写",IF(OR(B13="",C13="",D13="",E13="",G13="",H13="",I13="",NOT(ISNUMBER(L13)),O13=""),"请补全必填",IF(COUNTIF($B$5:$B$54,B13)&gt;1,"ID重复",IF(ISNA(MATCH(M13,'_枚举'!$T$2:$T$5,0)),"枚举错误",IF(OR(NOT(ISNUMBER(L13)),L13&lt;1,L13&gt;5),"格式错误","可导入")))))</f>
        <v/>
      </c>
      <c r="B13" s="90" t="str"/>
      <c r="C13" s="90" t="str"/>
      <c r="D13" s="90" t="str"/>
      <c r="E13" s="90" t="str"/>
      <c r="F13" s="90" t="str"/>
      <c r="G13" s="90" t="str"/>
      <c r="H13" s="90" t="str"/>
      <c r="I13" s="90" t="str"/>
      <c r="J13" s="90" t="str"/>
      <c r="K13" s="90" t="str"/>
      <c r="L13" s="119" t="str"/>
      <c r="M13" s="90" t="str"/>
      <c r="N13" s="90" t="str"/>
      <c r="O13" s="90" t="str"/>
      <c r="P13" s="90" t="str"/>
      <c r="Q13" s="90" t="str"/>
    </row>
    <row r="14">
      <c r="A14" s="118">
        <f>IF(COUNTA(B14:Q14)=0,"待填写",IF(OR(B14="",C14="",D14="",E14="",G14="",H14="",I14="",NOT(ISNUMBER(L14)),O14=""),"请补全必填",IF(COUNTIF($B$5:$B$54,B14)&gt;1,"ID重复",IF(ISNA(MATCH(M14,'_枚举'!$T$2:$T$5,0)),"枚举错误",IF(OR(NOT(ISNUMBER(L14)),L14&lt;1,L14&gt;5),"格式错误","可导入")))))</f>
        <v/>
      </c>
      <c r="B14" s="90" t="str"/>
      <c r="C14" s="90" t="str"/>
      <c r="D14" s="90" t="str"/>
      <c r="E14" s="90" t="str"/>
      <c r="F14" s="90" t="str"/>
      <c r="G14" s="90" t="str"/>
      <c r="H14" s="90" t="str"/>
      <c r="I14" s="90" t="str"/>
      <c r="J14" s="90" t="str"/>
      <c r="K14" s="90" t="str"/>
      <c r="L14" s="119" t="str"/>
      <c r="M14" s="90" t="str"/>
      <c r="N14" s="90" t="str"/>
      <c r="O14" s="90" t="str"/>
      <c r="P14" s="90" t="str"/>
      <c r="Q14" s="90" t="str"/>
    </row>
    <row r="15">
      <c r="A15" s="118">
        <f>IF(COUNTA(B15:Q15)=0,"待填写",IF(OR(B15="",C15="",D15="",E15="",G15="",H15="",I15="",NOT(ISNUMBER(L15)),O15=""),"请补全必填",IF(COUNTIF($B$5:$B$54,B15)&gt;1,"ID重复",IF(ISNA(MATCH(M15,'_枚举'!$T$2:$T$5,0)),"枚举错误",IF(OR(NOT(ISNUMBER(L15)),L15&lt;1,L15&gt;5),"格式错误","可导入")))))</f>
        <v/>
      </c>
      <c r="B15" s="90" t="str"/>
      <c r="C15" s="90" t="str"/>
      <c r="D15" s="90" t="str"/>
      <c r="E15" s="90" t="str"/>
      <c r="F15" s="90" t="str"/>
      <c r="G15" s="90" t="str"/>
      <c r="H15" s="90" t="str"/>
      <c r="I15" s="90" t="str"/>
      <c r="J15" s="90" t="str"/>
      <c r="K15" s="90" t="str"/>
      <c r="L15" s="119" t="str"/>
      <c r="M15" s="90" t="str"/>
      <c r="N15" s="90" t="str"/>
      <c r="O15" s="90" t="str"/>
      <c r="P15" s="90" t="str"/>
      <c r="Q15" s="90" t="str"/>
    </row>
    <row r="16">
      <c r="A16" s="118">
        <f>IF(COUNTA(B16:Q16)=0,"待填写",IF(OR(B16="",C16="",D16="",E16="",G16="",H16="",I16="",NOT(ISNUMBER(L16)),O16=""),"请补全必填",IF(COUNTIF($B$5:$B$54,B16)&gt;1,"ID重复",IF(ISNA(MATCH(M16,'_枚举'!$T$2:$T$5,0)),"枚举错误",IF(OR(NOT(ISNUMBER(L16)),L16&lt;1,L16&gt;5),"格式错误","可导入")))))</f>
        <v/>
      </c>
      <c r="B16" s="90" t="str"/>
      <c r="C16" s="90" t="str"/>
      <c r="D16" s="90" t="str"/>
      <c r="E16" s="90" t="str"/>
      <c r="F16" s="90" t="str"/>
      <c r="G16" s="90" t="str"/>
      <c r="H16" s="90" t="str"/>
      <c r="I16" s="90" t="str"/>
      <c r="J16" s="90" t="str"/>
      <c r="K16" s="90" t="str"/>
      <c r="L16" s="119" t="str"/>
      <c r="M16" s="90" t="str"/>
      <c r="N16" s="90" t="str"/>
      <c r="O16" s="90" t="str"/>
      <c r="P16" s="90" t="str"/>
      <c r="Q16" s="90" t="str"/>
    </row>
    <row r="17">
      <c r="A17" s="118">
        <f>IF(COUNTA(B17:Q17)=0,"待填写",IF(OR(B17="",C17="",D17="",E17="",G17="",H17="",I17="",NOT(ISNUMBER(L17)),O17=""),"请补全必填",IF(COUNTIF($B$5:$B$54,B17)&gt;1,"ID重复",IF(ISNA(MATCH(M17,'_枚举'!$T$2:$T$5,0)),"枚举错误",IF(OR(NOT(ISNUMBER(L17)),L17&lt;1,L17&gt;5),"格式错误","可导入")))))</f>
        <v/>
      </c>
      <c r="B17" s="90" t="str"/>
      <c r="C17" s="90" t="str"/>
      <c r="D17" s="90" t="str"/>
      <c r="E17" s="90" t="str"/>
      <c r="F17" s="90" t="str"/>
      <c r="G17" s="90" t="str"/>
      <c r="H17" s="90" t="str"/>
      <c r="I17" s="90" t="str"/>
      <c r="J17" s="90" t="str"/>
      <c r="K17" s="90" t="str"/>
      <c r="L17" s="119" t="str"/>
      <c r="M17" s="90" t="str"/>
      <c r="N17" s="90" t="str"/>
      <c r="O17" s="90" t="str"/>
      <c r="P17" s="90" t="str"/>
      <c r="Q17" s="90" t="str"/>
    </row>
    <row r="18">
      <c r="A18" s="118">
        <f>IF(COUNTA(B18:Q18)=0,"待填写",IF(OR(B18="",C18="",D18="",E18="",G18="",H18="",I18="",NOT(ISNUMBER(L18)),O18=""),"请补全必填",IF(COUNTIF($B$5:$B$54,B18)&gt;1,"ID重复",IF(ISNA(MATCH(M18,'_枚举'!$T$2:$T$5,0)),"枚举错误",IF(OR(NOT(ISNUMBER(L18)),L18&lt;1,L18&gt;5),"格式错误","可导入")))))</f>
        <v/>
      </c>
      <c r="B18" s="90" t="str"/>
      <c r="C18" s="90" t="str"/>
      <c r="D18" s="90" t="str"/>
      <c r="E18" s="90" t="str"/>
      <c r="F18" s="90" t="str"/>
      <c r="G18" s="90" t="str"/>
      <c r="H18" s="90" t="str"/>
      <c r="I18" s="90" t="str"/>
      <c r="J18" s="90" t="str"/>
      <c r="K18" s="90" t="str"/>
      <c r="L18" s="119" t="str"/>
      <c r="M18" s="90" t="str"/>
      <c r="N18" s="90" t="str"/>
      <c r="O18" s="90" t="str"/>
      <c r="P18" s="90" t="str"/>
      <c r="Q18" s="90" t="str"/>
    </row>
    <row r="19">
      <c r="A19" s="118">
        <f>IF(COUNTA(B19:Q19)=0,"待填写",IF(OR(B19="",C19="",D19="",E19="",G19="",H19="",I19="",NOT(ISNUMBER(L19)),O19=""),"请补全必填",IF(COUNTIF($B$5:$B$54,B19)&gt;1,"ID重复",IF(ISNA(MATCH(M19,'_枚举'!$T$2:$T$5,0)),"枚举错误",IF(OR(NOT(ISNUMBER(L19)),L19&lt;1,L19&gt;5),"格式错误","可导入")))))</f>
        <v/>
      </c>
      <c r="B19" s="90" t="str"/>
      <c r="C19" s="90" t="str"/>
      <c r="D19" s="90" t="str"/>
      <c r="E19" s="90" t="str"/>
      <c r="F19" s="90" t="str"/>
      <c r="G19" s="90" t="str"/>
      <c r="H19" s="90" t="str"/>
      <c r="I19" s="90" t="str"/>
      <c r="J19" s="90" t="str"/>
      <c r="K19" s="90" t="str"/>
      <c r="L19" s="119" t="str"/>
      <c r="M19" s="90" t="str"/>
      <c r="N19" s="90" t="str"/>
      <c r="O19" s="90" t="str"/>
      <c r="P19" s="90" t="str"/>
      <c r="Q19" s="90" t="str"/>
    </row>
    <row r="20">
      <c r="A20" s="118">
        <f>IF(COUNTA(B20:Q20)=0,"待填写",IF(OR(B20="",C20="",D20="",E20="",G20="",H20="",I20="",NOT(ISNUMBER(L20)),O20=""),"请补全必填",IF(COUNTIF($B$5:$B$54,B20)&gt;1,"ID重复",IF(ISNA(MATCH(M20,'_枚举'!$T$2:$T$5,0)),"枚举错误",IF(OR(NOT(ISNUMBER(L20)),L20&lt;1,L20&gt;5),"格式错误","可导入")))))</f>
        <v/>
      </c>
      <c r="B20" s="90" t="str"/>
      <c r="C20" s="90" t="str"/>
      <c r="D20" s="90" t="str"/>
      <c r="E20" s="90" t="str"/>
      <c r="F20" s="90" t="str"/>
      <c r="G20" s="90" t="str"/>
      <c r="H20" s="90" t="str"/>
      <c r="I20" s="90" t="str"/>
      <c r="J20" s="90" t="str"/>
      <c r="K20" s="90" t="str"/>
      <c r="L20" s="119" t="str"/>
      <c r="M20" s="90" t="str"/>
      <c r="N20" s="90" t="str"/>
      <c r="O20" s="90" t="str"/>
      <c r="P20" s="90" t="str"/>
      <c r="Q20" s="90" t="str"/>
    </row>
    <row r="21">
      <c r="A21" s="118">
        <f>IF(COUNTA(B21:Q21)=0,"待填写",IF(OR(B21="",C21="",D21="",E21="",G21="",H21="",I21="",NOT(ISNUMBER(L21)),O21=""),"请补全必填",IF(COUNTIF($B$5:$B$54,B21)&gt;1,"ID重复",IF(ISNA(MATCH(M21,'_枚举'!$T$2:$T$5,0)),"枚举错误",IF(OR(NOT(ISNUMBER(L21)),L21&lt;1,L21&gt;5),"格式错误","可导入")))))</f>
        <v/>
      </c>
      <c r="B21" s="90" t="str"/>
      <c r="C21" s="90" t="str"/>
      <c r="D21" s="90" t="str"/>
      <c r="E21" s="90" t="str"/>
      <c r="F21" s="90" t="str"/>
      <c r="G21" s="90" t="str"/>
      <c r="H21" s="90" t="str"/>
      <c r="I21" s="90" t="str"/>
      <c r="J21" s="90" t="str"/>
      <c r="K21" s="90" t="str"/>
      <c r="L21" s="119" t="str"/>
      <c r="M21" s="90" t="str"/>
      <c r="N21" s="90" t="str"/>
      <c r="O21" s="90" t="str"/>
      <c r="P21" s="90" t="str"/>
      <c r="Q21" s="90" t="str"/>
    </row>
    <row r="22">
      <c r="A22" s="118">
        <f>IF(COUNTA(B22:Q22)=0,"待填写",IF(OR(B22="",C22="",D22="",E22="",G22="",H22="",I22="",NOT(ISNUMBER(L22)),O22=""),"请补全必填",IF(COUNTIF($B$5:$B$54,B22)&gt;1,"ID重复",IF(ISNA(MATCH(M22,'_枚举'!$T$2:$T$5,0)),"枚举错误",IF(OR(NOT(ISNUMBER(L22)),L22&lt;1,L22&gt;5),"格式错误","可导入")))))</f>
        <v/>
      </c>
      <c r="B22" s="90" t="str"/>
      <c r="C22" s="90" t="str"/>
      <c r="D22" s="90" t="str"/>
      <c r="E22" s="90" t="str"/>
      <c r="F22" s="90" t="str"/>
      <c r="G22" s="90" t="str"/>
      <c r="H22" s="90" t="str"/>
      <c r="I22" s="90" t="str"/>
      <c r="J22" s="90" t="str"/>
      <c r="K22" s="90" t="str"/>
      <c r="L22" s="119" t="str"/>
      <c r="M22" s="90" t="str"/>
      <c r="N22" s="90" t="str"/>
      <c r="O22" s="90" t="str"/>
      <c r="P22" s="90" t="str"/>
      <c r="Q22" s="90" t="str"/>
    </row>
    <row r="23">
      <c r="A23" s="118">
        <f>IF(COUNTA(B23:Q23)=0,"待填写",IF(OR(B23="",C23="",D23="",E23="",G23="",H23="",I23="",NOT(ISNUMBER(L23)),O23=""),"请补全必填",IF(COUNTIF($B$5:$B$54,B23)&gt;1,"ID重复",IF(ISNA(MATCH(M23,'_枚举'!$T$2:$T$5,0)),"枚举错误",IF(OR(NOT(ISNUMBER(L23)),L23&lt;1,L23&gt;5),"格式错误","可导入")))))</f>
        <v/>
      </c>
      <c r="B23" s="90" t="str"/>
      <c r="C23" s="90" t="str"/>
      <c r="D23" s="90" t="str"/>
      <c r="E23" s="90" t="str"/>
      <c r="F23" s="90" t="str"/>
      <c r="G23" s="90" t="str"/>
      <c r="H23" s="90" t="str"/>
      <c r="I23" s="90" t="str"/>
      <c r="J23" s="90" t="str"/>
      <c r="K23" s="90" t="str"/>
      <c r="L23" s="119" t="str"/>
      <c r="M23" s="90" t="str"/>
      <c r="N23" s="90" t="str"/>
      <c r="O23" s="90" t="str"/>
      <c r="P23" s="90" t="str"/>
      <c r="Q23" s="90" t="str"/>
    </row>
    <row r="24">
      <c r="A24" s="118">
        <f>IF(COUNTA(B24:Q24)=0,"待填写",IF(OR(B24="",C24="",D24="",E24="",G24="",H24="",I24="",NOT(ISNUMBER(L24)),O24=""),"请补全必填",IF(COUNTIF($B$5:$B$54,B24)&gt;1,"ID重复",IF(ISNA(MATCH(M24,'_枚举'!$T$2:$T$5,0)),"枚举错误",IF(OR(NOT(ISNUMBER(L24)),L24&lt;1,L24&gt;5),"格式错误","可导入")))))</f>
        <v/>
      </c>
      <c r="B24" s="90" t="str"/>
      <c r="C24" s="90" t="str"/>
      <c r="D24" s="90" t="str"/>
      <c r="E24" s="90" t="str"/>
      <c r="F24" s="90" t="str"/>
      <c r="G24" s="90" t="str"/>
      <c r="H24" s="90" t="str"/>
      <c r="I24" s="90" t="str"/>
      <c r="J24" s="90" t="str"/>
      <c r="K24" s="90" t="str"/>
      <c r="L24" s="119" t="str"/>
      <c r="M24" s="90" t="str"/>
      <c r="N24" s="90" t="str"/>
      <c r="O24" s="90" t="str"/>
      <c r="P24" s="90" t="str"/>
      <c r="Q24" s="90" t="str"/>
    </row>
    <row r="25">
      <c r="A25" s="118">
        <f>IF(COUNTA(B25:Q25)=0,"待填写",IF(OR(B25="",C25="",D25="",E25="",G25="",H25="",I25="",NOT(ISNUMBER(L25)),O25=""),"请补全必填",IF(COUNTIF($B$5:$B$54,B25)&gt;1,"ID重复",IF(ISNA(MATCH(M25,'_枚举'!$T$2:$T$5,0)),"枚举错误",IF(OR(NOT(ISNUMBER(L25)),L25&lt;1,L25&gt;5),"格式错误","可导入")))))</f>
        <v/>
      </c>
      <c r="B25" s="90" t="str"/>
      <c r="C25" s="90" t="str"/>
      <c r="D25" s="90" t="str"/>
      <c r="E25" s="90" t="str"/>
      <c r="F25" s="90" t="str"/>
      <c r="G25" s="90" t="str"/>
      <c r="H25" s="90" t="str"/>
      <c r="I25" s="90" t="str"/>
      <c r="J25" s="90" t="str"/>
      <c r="K25" s="90" t="str"/>
      <c r="L25" s="119" t="str"/>
      <c r="M25" s="90" t="str"/>
      <c r="N25" s="90" t="str"/>
      <c r="O25" s="90" t="str"/>
      <c r="P25" s="90" t="str"/>
      <c r="Q25" s="90" t="str"/>
    </row>
    <row r="26">
      <c r="A26" s="118">
        <f>IF(COUNTA(B26:Q26)=0,"待填写",IF(OR(B26="",C26="",D26="",E26="",G26="",H26="",I26="",NOT(ISNUMBER(L26)),O26=""),"请补全必填",IF(COUNTIF($B$5:$B$54,B26)&gt;1,"ID重复",IF(ISNA(MATCH(M26,'_枚举'!$T$2:$T$5,0)),"枚举错误",IF(OR(NOT(ISNUMBER(L26)),L26&lt;1,L26&gt;5),"格式错误","可导入")))))</f>
        <v/>
      </c>
      <c r="B26" s="90" t="str"/>
      <c r="C26" s="90" t="str"/>
      <c r="D26" s="90" t="str"/>
      <c r="E26" s="90" t="str"/>
      <c r="F26" s="90" t="str"/>
      <c r="G26" s="90" t="str"/>
      <c r="H26" s="90" t="str"/>
      <c r="I26" s="90" t="str"/>
      <c r="J26" s="90" t="str"/>
      <c r="K26" s="90" t="str"/>
      <c r="L26" s="119" t="str"/>
      <c r="M26" s="90" t="str"/>
      <c r="N26" s="90" t="str"/>
      <c r="O26" s="90" t="str"/>
      <c r="P26" s="90" t="str"/>
      <c r="Q26" s="90" t="str"/>
    </row>
    <row r="27">
      <c r="A27" s="118">
        <f>IF(COUNTA(B27:Q27)=0,"待填写",IF(OR(B27="",C27="",D27="",E27="",G27="",H27="",I27="",NOT(ISNUMBER(L27)),O27=""),"请补全必填",IF(COUNTIF($B$5:$B$54,B27)&gt;1,"ID重复",IF(ISNA(MATCH(M27,'_枚举'!$T$2:$T$5,0)),"枚举错误",IF(OR(NOT(ISNUMBER(L27)),L27&lt;1,L27&gt;5),"格式错误","可导入")))))</f>
        <v/>
      </c>
      <c r="B27" s="90" t="str"/>
      <c r="C27" s="90" t="str"/>
      <c r="D27" s="90" t="str"/>
      <c r="E27" s="90" t="str"/>
      <c r="F27" s="90" t="str"/>
      <c r="G27" s="90" t="str"/>
      <c r="H27" s="90" t="str"/>
      <c r="I27" s="90" t="str"/>
      <c r="J27" s="90" t="str"/>
      <c r="K27" s="90" t="str"/>
      <c r="L27" s="119" t="str"/>
      <c r="M27" s="90" t="str"/>
      <c r="N27" s="90" t="str"/>
      <c r="O27" s="90" t="str"/>
      <c r="P27" s="90" t="str"/>
      <c r="Q27" s="90" t="str"/>
    </row>
    <row r="28">
      <c r="A28" s="118">
        <f>IF(COUNTA(B28:Q28)=0,"待填写",IF(OR(B28="",C28="",D28="",E28="",G28="",H28="",I28="",NOT(ISNUMBER(L28)),O28=""),"请补全必填",IF(COUNTIF($B$5:$B$54,B28)&gt;1,"ID重复",IF(ISNA(MATCH(M28,'_枚举'!$T$2:$T$5,0)),"枚举错误",IF(OR(NOT(ISNUMBER(L28)),L28&lt;1,L28&gt;5),"格式错误","可导入")))))</f>
        <v/>
      </c>
      <c r="B28" s="90" t="str"/>
      <c r="C28" s="90" t="str"/>
      <c r="D28" s="90" t="str"/>
      <c r="E28" s="90" t="str"/>
      <c r="F28" s="90" t="str"/>
      <c r="G28" s="90" t="str"/>
      <c r="H28" s="90" t="str"/>
      <c r="I28" s="90" t="str"/>
      <c r="J28" s="90" t="str"/>
      <c r="K28" s="90" t="str"/>
      <c r="L28" s="119" t="str"/>
      <c r="M28" s="90" t="str"/>
      <c r="N28" s="90" t="str"/>
      <c r="O28" s="90" t="str"/>
      <c r="P28" s="90" t="str"/>
      <c r="Q28" s="90" t="str"/>
    </row>
    <row r="29">
      <c r="A29" s="118">
        <f>IF(COUNTA(B29:Q29)=0,"待填写",IF(OR(B29="",C29="",D29="",E29="",G29="",H29="",I29="",NOT(ISNUMBER(L29)),O29=""),"请补全必填",IF(COUNTIF($B$5:$B$54,B29)&gt;1,"ID重复",IF(ISNA(MATCH(M29,'_枚举'!$T$2:$T$5,0)),"枚举错误",IF(OR(NOT(ISNUMBER(L29)),L29&lt;1,L29&gt;5),"格式错误","可导入")))))</f>
        <v/>
      </c>
      <c r="B29" s="90" t="str"/>
      <c r="C29" s="90" t="str"/>
      <c r="D29" s="90" t="str"/>
      <c r="E29" s="90" t="str"/>
      <c r="F29" s="90" t="str"/>
      <c r="G29" s="90" t="str"/>
      <c r="H29" s="90" t="str"/>
      <c r="I29" s="90" t="str"/>
      <c r="J29" s="90" t="str"/>
      <c r="K29" s="90" t="str"/>
      <c r="L29" s="119" t="str"/>
      <c r="M29" s="90" t="str"/>
      <c r="N29" s="90" t="str"/>
      <c r="O29" s="90" t="str"/>
      <c r="P29" s="90" t="str"/>
      <c r="Q29" s="90" t="str"/>
    </row>
    <row r="30">
      <c r="A30" s="118">
        <f>IF(COUNTA(B30:Q30)=0,"待填写",IF(OR(B30="",C30="",D30="",E30="",G30="",H30="",I30="",NOT(ISNUMBER(L30)),O30=""),"请补全必填",IF(COUNTIF($B$5:$B$54,B30)&gt;1,"ID重复",IF(ISNA(MATCH(M30,'_枚举'!$T$2:$T$5,0)),"枚举错误",IF(OR(NOT(ISNUMBER(L30)),L30&lt;1,L30&gt;5),"格式错误","可导入")))))</f>
        <v/>
      </c>
      <c r="B30" s="90" t="str"/>
      <c r="C30" s="90" t="str"/>
      <c r="D30" s="90" t="str"/>
      <c r="E30" s="90" t="str"/>
      <c r="F30" s="90" t="str"/>
      <c r="G30" s="90" t="str"/>
      <c r="H30" s="90" t="str"/>
      <c r="I30" s="90" t="str"/>
      <c r="J30" s="90" t="str"/>
      <c r="K30" s="90" t="str"/>
      <c r="L30" s="119" t="str"/>
      <c r="M30" s="90" t="str"/>
      <c r="N30" s="90" t="str"/>
      <c r="O30" s="90" t="str"/>
      <c r="P30" s="90" t="str"/>
      <c r="Q30" s="90" t="str"/>
    </row>
    <row r="31">
      <c r="A31" s="118">
        <f>IF(COUNTA(B31:Q31)=0,"待填写",IF(OR(B31="",C31="",D31="",E31="",G31="",H31="",I31="",NOT(ISNUMBER(L31)),O31=""),"请补全必填",IF(COUNTIF($B$5:$B$54,B31)&gt;1,"ID重复",IF(ISNA(MATCH(M31,'_枚举'!$T$2:$T$5,0)),"枚举错误",IF(OR(NOT(ISNUMBER(L31)),L31&lt;1,L31&gt;5),"格式错误","可导入")))))</f>
        <v/>
      </c>
      <c r="B31" s="90" t="str"/>
      <c r="C31" s="90" t="str"/>
      <c r="D31" s="90" t="str"/>
      <c r="E31" s="90" t="str"/>
      <c r="F31" s="90" t="str"/>
      <c r="G31" s="90" t="str"/>
      <c r="H31" s="90" t="str"/>
      <c r="I31" s="90" t="str"/>
      <c r="J31" s="90" t="str"/>
      <c r="K31" s="90" t="str"/>
      <c r="L31" s="119" t="str"/>
      <c r="M31" s="90" t="str"/>
      <c r="N31" s="90" t="str"/>
      <c r="O31" s="90" t="str"/>
      <c r="P31" s="90" t="str"/>
      <c r="Q31" s="90" t="str"/>
    </row>
    <row r="32">
      <c r="A32" s="118">
        <f>IF(COUNTA(B32:Q32)=0,"待填写",IF(OR(B32="",C32="",D32="",E32="",G32="",H32="",I32="",NOT(ISNUMBER(L32)),O32=""),"请补全必填",IF(COUNTIF($B$5:$B$54,B32)&gt;1,"ID重复",IF(ISNA(MATCH(M32,'_枚举'!$T$2:$T$5,0)),"枚举错误",IF(OR(NOT(ISNUMBER(L32)),L32&lt;1,L32&gt;5),"格式错误","可导入")))))</f>
        <v/>
      </c>
      <c r="B32" s="90" t="str"/>
      <c r="C32" s="90" t="str"/>
      <c r="D32" s="90" t="str"/>
      <c r="E32" s="90" t="str"/>
      <c r="F32" s="90" t="str"/>
      <c r="G32" s="90" t="str"/>
      <c r="H32" s="90" t="str"/>
      <c r="I32" s="90" t="str"/>
      <c r="J32" s="90" t="str"/>
      <c r="K32" s="90" t="str"/>
      <c r="L32" s="119" t="str"/>
      <c r="M32" s="90" t="str"/>
      <c r="N32" s="90" t="str"/>
      <c r="O32" s="90" t="str"/>
      <c r="P32" s="90" t="str"/>
      <c r="Q32" s="90" t="str"/>
    </row>
    <row r="33">
      <c r="A33" s="118">
        <f>IF(COUNTA(B33:Q33)=0,"待填写",IF(OR(B33="",C33="",D33="",E33="",G33="",H33="",I33="",NOT(ISNUMBER(L33)),O33=""),"请补全必填",IF(COUNTIF($B$5:$B$54,B33)&gt;1,"ID重复",IF(ISNA(MATCH(M33,'_枚举'!$T$2:$T$5,0)),"枚举错误",IF(OR(NOT(ISNUMBER(L33)),L33&lt;1,L33&gt;5),"格式错误","可导入")))))</f>
        <v/>
      </c>
      <c r="B33" s="90" t="str"/>
      <c r="C33" s="90" t="str"/>
      <c r="D33" s="90" t="str"/>
      <c r="E33" s="90" t="str"/>
      <c r="F33" s="90" t="str"/>
      <c r="G33" s="90" t="str"/>
      <c r="H33" s="90" t="str"/>
      <c r="I33" s="90" t="str"/>
      <c r="J33" s="90" t="str"/>
      <c r="K33" s="90" t="str"/>
      <c r="L33" s="119" t="str"/>
      <c r="M33" s="90" t="str"/>
      <c r="N33" s="90" t="str"/>
      <c r="O33" s="90" t="str"/>
      <c r="P33" s="90" t="str"/>
      <c r="Q33" s="90" t="str"/>
    </row>
    <row r="34">
      <c r="A34" s="118">
        <f>IF(COUNTA(B34:Q34)=0,"待填写",IF(OR(B34="",C34="",D34="",E34="",G34="",H34="",I34="",NOT(ISNUMBER(L34)),O34=""),"请补全必填",IF(COUNTIF($B$5:$B$54,B34)&gt;1,"ID重复",IF(ISNA(MATCH(M34,'_枚举'!$T$2:$T$5,0)),"枚举错误",IF(OR(NOT(ISNUMBER(L34)),L34&lt;1,L34&gt;5),"格式错误","可导入")))))</f>
        <v/>
      </c>
      <c r="B34" s="90" t="str"/>
      <c r="C34" s="90" t="str"/>
      <c r="D34" s="90" t="str"/>
      <c r="E34" s="90" t="str"/>
      <c r="F34" s="90" t="str"/>
      <c r="G34" s="90" t="str"/>
      <c r="H34" s="90" t="str"/>
      <c r="I34" s="90" t="str"/>
      <c r="J34" s="90" t="str"/>
      <c r="K34" s="90" t="str"/>
      <c r="L34" s="119" t="str"/>
      <c r="M34" s="90" t="str"/>
      <c r="N34" s="90" t="str"/>
      <c r="O34" s="90" t="str"/>
      <c r="P34" s="90" t="str"/>
      <c r="Q34" s="90" t="str"/>
    </row>
    <row r="35">
      <c r="A35" s="118">
        <f>IF(COUNTA(B35:Q35)=0,"待填写",IF(OR(B35="",C35="",D35="",E35="",G35="",H35="",I35="",NOT(ISNUMBER(L35)),O35=""),"请补全必填",IF(COUNTIF($B$5:$B$54,B35)&gt;1,"ID重复",IF(ISNA(MATCH(M35,'_枚举'!$T$2:$T$5,0)),"枚举错误",IF(OR(NOT(ISNUMBER(L35)),L35&lt;1,L35&gt;5),"格式错误","可导入")))))</f>
        <v/>
      </c>
      <c r="B35" s="90" t="str"/>
      <c r="C35" s="90" t="str"/>
      <c r="D35" s="90" t="str"/>
      <c r="E35" s="90" t="str"/>
      <c r="F35" s="90" t="str"/>
      <c r="G35" s="90" t="str"/>
      <c r="H35" s="90" t="str"/>
      <c r="I35" s="90" t="str"/>
      <c r="J35" s="90" t="str"/>
      <c r="K35" s="90" t="str"/>
      <c r="L35" s="119" t="str"/>
      <c r="M35" s="90" t="str"/>
      <c r="N35" s="90" t="str"/>
      <c r="O35" s="90" t="str"/>
      <c r="P35" s="90" t="str"/>
      <c r="Q35" s="90" t="str"/>
    </row>
    <row r="36">
      <c r="A36" s="118">
        <f>IF(COUNTA(B36:Q36)=0,"待填写",IF(OR(B36="",C36="",D36="",E36="",G36="",H36="",I36="",NOT(ISNUMBER(L36)),O36=""),"请补全必填",IF(COUNTIF($B$5:$B$54,B36)&gt;1,"ID重复",IF(ISNA(MATCH(M36,'_枚举'!$T$2:$T$5,0)),"枚举错误",IF(OR(NOT(ISNUMBER(L36)),L36&lt;1,L36&gt;5),"格式错误","可导入")))))</f>
        <v/>
      </c>
      <c r="B36" s="90" t="str"/>
      <c r="C36" s="90" t="str"/>
      <c r="D36" s="90" t="str"/>
      <c r="E36" s="90" t="str"/>
      <c r="F36" s="90" t="str"/>
      <c r="G36" s="90" t="str"/>
      <c r="H36" s="90" t="str"/>
      <c r="I36" s="90" t="str"/>
      <c r="J36" s="90" t="str"/>
      <c r="K36" s="90" t="str"/>
      <c r="L36" s="119" t="str"/>
      <c r="M36" s="90" t="str"/>
      <c r="N36" s="90" t="str"/>
      <c r="O36" s="90" t="str"/>
      <c r="P36" s="90" t="str"/>
      <c r="Q36" s="90" t="str"/>
    </row>
    <row r="37">
      <c r="A37" s="118">
        <f>IF(COUNTA(B37:Q37)=0,"待填写",IF(OR(B37="",C37="",D37="",E37="",G37="",H37="",I37="",NOT(ISNUMBER(L37)),O37=""),"请补全必填",IF(COUNTIF($B$5:$B$54,B37)&gt;1,"ID重复",IF(ISNA(MATCH(M37,'_枚举'!$T$2:$T$5,0)),"枚举错误",IF(OR(NOT(ISNUMBER(L37)),L37&lt;1,L37&gt;5),"格式错误","可导入")))))</f>
        <v/>
      </c>
      <c r="B37" s="90" t="str"/>
      <c r="C37" s="90" t="str"/>
      <c r="D37" s="90" t="str"/>
      <c r="E37" s="90" t="str"/>
      <c r="F37" s="90" t="str"/>
      <c r="G37" s="90" t="str"/>
      <c r="H37" s="90" t="str"/>
      <c r="I37" s="90" t="str"/>
      <c r="J37" s="90" t="str"/>
      <c r="K37" s="90" t="str"/>
      <c r="L37" s="119" t="str"/>
      <c r="M37" s="90" t="str"/>
      <c r="N37" s="90" t="str"/>
      <c r="O37" s="90" t="str"/>
      <c r="P37" s="90" t="str"/>
      <c r="Q37" s="90" t="str"/>
    </row>
    <row r="38">
      <c r="A38" s="118">
        <f>IF(COUNTA(B38:Q38)=0,"待填写",IF(OR(B38="",C38="",D38="",E38="",G38="",H38="",I38="",NOT(ISNUMBER(L38)),O38=""),"请补全必填",IF(COUNTIF($B$5:$B$54,B38)&gt;1,"ID重复",IF(ISNA(MATCH(M38,'_枚举'!$T$2:$T$5,0)),"枚举错误",IF(OR(NOT(ISNUMBER(L38)),L38&lt;1,L38&gt;5),"格式错误","可导入")))))</f>
        <v/>
      </c>
      <c r="B38" s="90" t="str"/>
      <c r="C38" s="90" t="str"/>
      <c r="D38" s="90" t="str"/>
      <c r="E38" s="90" t="str"/>
      <c r="F38" s="90" t="str"/>
      <c r="G38" s="90" t="str"/>
      <c r="H38" s="90" t="str"/>
      <c r="I38" s="90" t="str"/>
      <c r="J38" s="90" t="str"/>
      <c r="K38" s="90" t="str"/>
      <c r="L38" s="119" t="str"/>
      <c r="M38" s="90" t="str"/>
      <c r="N38" s="90" t="str"/>
      <c r="O38" s="90" t="str"/>
      <c r="P38" s="90" t="str"/>
      <c r="Q38" s="90" t="str"/>
    </row>
    <row r="39">
      <c r="A39" s="118">
        <f>IF(COUNTA(B39:Q39)=0,"待填写",IF(OR(B39="",C39="",D39="",E39="",G39="",H39="",I39="",NOT(ISNUMBER(L39)),O39=""),"请补全必填",IF(COUNTIF($B$5:$B$54,B39)&gt;1,"ID重复",IF(ISNA(MATCH(M39,'_枚举'!$T$2:$T$5,0)),"枚举错误",IF(OR(NOT(ISNUMBER(L39)),L39&lt;1,L39&gt;5),"格式错误","可导入")))))</f>
        <v/>
      </c>
      <c r="B39" s="90" t="str"/>
      <c r="C39" s="90" t="str"/>
      <c r="D39" s="90" t="str"/>
      <c r="E39" s="90" t="str"/>
      <c r="F39" s="90" t="str"/>
      <c r="G39" s="90" t="str"/>
      <c r="H39" s="90" t="str"/>
      <c r="I39" s="90" t="str"/>
      <c r="J39" s="90" t="str"/>
      <c r="K39" s="90" t="str"/>
      <c r="L39" s="119" t="str"/>
      <c r="M39" s="90" t="str"/>
      <c r="N39" s="90" t="str"/>
      <c r="O39" s="90" t="str"/>
      <c r="P39" s="90" t="str"/>
      <c r="Q39" s="90" t="str"/>
    </row>
    <row r="40">
      <c r="A40" s="118">
        <f>IF(COUNTA(B40:Q40)=0,"待填写",IF(OR(B40="",C40="",D40="",E40="",G40="",H40="",I40="",NOT(ISNUMBER(L40)),O40=""),"请补全必填",IF(COUNTIF($B$5:$B$54,B40)&gt;1,"ID重复",IF(ISNA(MATCH(M40,'_枚举'!$T$2:$T$5,0)),"枚举错误",IF(OR(NOT(ISNUMBER(L40)),L40&lt;1,L40&gt;5),"格式错误","可导入")))))</f>
        <v/>
      </c>
      <c r="B40" s="90" t="str"/>
      <c r="C40" s="90" t="str"/>
      <c r="D40" s="90" t="str"/>
      <c r="E40" s="90" t="str"/>
      <c r="F40" s="90" t="str"/>
      <c r="G40" s="90" t="str"/>
      <c r="H40" s="90" t="str"/>
      <c r="I40" s="90" t="str"/>
      <c r="J40" s="90" t="str"/>
      <c r="K40" s="90" t="str"/>
      <c r="L40" s="119" t="str"/>
      <c r="M40" s="90" t="str"/>
      <c r="N40" s="90" t="str"/>
      <c r="O40" s="90" t="str"/>
      <c r="P40" s="90" t="str"/>
      <c r="Q40" s="90" t="str"/>
    </row>
    <row r="41">
      <c r="A41" s="118">
        <f>IF(COUNTA(B41:Q41)=0,"待填写",IF(OR(B41="",C41="",D41="",E41="",G41="",H41="",I41="",NOT(ISNUMBER(L41)),O41=""),"请补全必填",IF(COUNTIF($B$5:$B$54,B41)&gt;1,"ID重复",IF(ISNA(MATCH(M41,'_枚举'!$T$2:$T$5,0)),"枚举错误",IF(OR(NOT(ISNUMBER(L41)),L41&lt;1,L41&gt;5),"格式错误","可导入")))))</f>
        <v/>
      </c>
      <c r="B41" s="90" t="str"/>
      <c r="C41" s="90" t="str"/>
      <c r="D41" s="90" t="str"/>
      <c r="E41" s="90" t="str"/>
      <c r="F41" s="90" t="str"/>
      <c r="G41" s="90" t="str"/>
      <c r="H41" s="90" t="str"/>
      <c r="I41" s="90" t="str"/>
      <c r="J41" s="90" t="str"/>
      <c r="K41" s="90" t="str"/>
      <c r="L41" s="119" t="str"/>
      <c r="M41" s="90" t="str"/>
      <c r="N41" s="90" t="str"/>
      <c r="O41" s="90" t="str"/>
      <c r="P41" s="90" t="str"/>
      <c r="Q41" s="90" t="str"/>
    </row>
    <row r="42">
      <c r="A42" s="118">
        <f>IF(COUNTA(B42:Q42)=0,"待填写",IF(OR(B42="",C42="",D42="",E42="",G42="",H42="",I42="",NOT(ISNUMBER(L42)),O42=""),"请补全必填",IF(COUNTIF($B$5:$B$54,B42)&gt;1,"ID重复",IF(ISNA(MATCH(M42,'_枚举'!$T$2:$T$5,0)),"枚举错误",IF(OR(NOT(ISNUMBER(L42)),L42&lt;1,L42&gt;5),"格式错误","可导入")))))</f>
        <v/>
      </c>
      <c r="B42" s="90" t="str"/>
      <c r="C42" s="90" t="str"/>
      <c r="D42" s="90" t="str"/>
      <c r="E42" s="90" t="str"/>
      <c r="F42" s="90" t="str"/>
      <c r="G42" s="90" t="str"/>
      <c r="H42" s="90" t="str"/>
      <c r="I42" s="90" t="str"/>
      <c r="J42" s="90" t="str"/>
      <c r="K42" s="90" t="str"/>
      <c r="L42" s="119" t="str"/>
      <c r="M42" s="90" t="str"/>
      <c r="N42" s="90" t="str"/>
      <c r="O42" s="90" t="str"/>
      <c r="P42" s="90" t="str"/>
      <c r="Q42" s="90" t="str"/>
    </row>
    <row r="43">
      <c r="A43" s="118">
        <f>IF(COUNTA(B43:Q43)=0,"待填写",IF(OR(B43="",C43="",D43="",E43="",G43="",H43="",I43="",NOT(ISNUMBER(L43)),O43=""),"请补全必填",IF(COUNTIF($B$5:$B$54,B43)&gt;1,"ID重复",IF(ISNA(MATCH(M43,'_枚举'!$T$2:$T$5,0)),"枚举错误",IF(OR(NOT(ISNUMBER(L43)),L43&lt;1,L43&gt;5),"格式错误","可导入")))))</f>
        <v/>
      </c>
      <c r="B43" s="90" t="str"/>
      <c r="C43" s="90" t="str"/>
      <c r="D43" s="90" t="str"/>
      <c r="E43" s="90" t="str"/>
      <c r="F43" s="90" t="str"/>
      <c r="G43" s="90" t="str"/>
      <c r="H43" s="90" t="str"/>
      <c r="I43" s="90" t="str"/>
      <c r="J43" s="90" t="str"/>
      <c r="K43" s="90" t="str"/>
      <c r="L43" s="119" t="str"/>
      <c r="M43" s="90" t="str"/>
      <c r="N43" s="90" t="str"/>
      <c r="O43" s="90" t="str"/>
      <c r="P43" s="90" t="str"/>
      <c r="Q43" s="90" t="str"/>
    </row>
    <row r="44">
      <c r="A44" s="118">
        <f>IF(COUNTA(B44:Q44)=0,"待填写",IF(OR(B44="",C44="",D44="",E44="",G44="",H44="",I44="",NOT(ISNUMBER(L44)),O44=""),"请补全必填",IF(COUNTIF($B$5:$B$54,B44)&gt;1,"ID重复",IF(ISNA(MATCH(M44,'_枚举'!$T$2:$T$5,0)),"枚举错误",IF(OR(NOT(ISNUMBER(L44)),L44&lt;1,L44&gt;5),"格式错误","可导入")))))</f>
        <v/>
      </c>
      <c r="B44" s="90" t="str"/>
      <c r="C44" s="90" t="str"/>
      <c r="D44" s="90" t="str"/>
      <c r="E44" s="90" t="str"/>
      <c r="F44" s="90" t="str"/>
      <c r="G44" s="90" t="str"/>
      <c r="H44" s="90" t="str"/>
      <c r="I44" s="90" t="str"/>
      <c r="J44" s="90" t="str"/>
      <c r="K44" s="90" t="str"/>
      <c r="L44" s="119" t="str"/>
      <c r="M44" s="90" t="str"/>
      <c r="N44" s="90" t="str"/>
      <c r="O44" s="90" t="str"/>
      <c r="P44" s="90" t="str"/>
      <c r="Q44" s="90" t="str"/>
    </row>
    <row r="45">
      <c r="A45" s="118">
        <f>IF(COUNTA(B45:Q45)=0,"待填写",IF(OR(B45="",C45="",D45="",E45="",G45="",H45="",I45="",NOT(ISNUMBER(L45)),O45=""),"请补全必填",IF(COUNTIF($B$5:$B$54,B45)&gt;1,"ID重复",IF(ISNA(MATCH(M45,'_枚举'!$T$2:$T$5,0)),"枚举错误",IF(OR(NOT(ISNUMBER(L45)),L45&lt;1,L45&gt;5),"格式错误","可导入")))))</f>
        <v/>
      </c>
      <c r="B45" s="90" t="str"/>
      <c r="C45" s="90" t="str"/>
      <c r="D45" s="90" t="str"/>
      <c r="E45" s="90" t="str"/>
      <c r="F45" s="90" t="str"/>
      <c r="G45" s="90" t="str"/>
      <c r="H45" s="90" t="str"/>
      <c r="I45" s="90" t="str"/>
      <c r="J45" s="90" t="str"/>
      <c r="K45" s="90" t="str"/>
      <c r="L45" s="119" t="str"/>
      <c r="M45" s="90" t="str"/>
      <c r="N45" s="90" t="str"/>
      <c r="O45" s="90" t="str"/>
      <c r="P45" s="90" t="str"/>
      <c r="Q45" s="90" t="str"/>
    </row>
    <row r="46">
      <c r="A46" s="118">
        <f>IF(COUNTA(B46:Q46)=0,"待填写",IF(OR(B46="",C46="",D46="",E46="",G46="",H46="",I46="",NOT(ISNUMBER(L46)),O46=""),"请补全必填",IF(COUNTIF($B$5:$B$54,B46)&gt;1,"ID重复",IF(ISNA(MATCH(M46,'_枚举'!$T$2:$T$5,0)),"枚举错误",IF(OR(NOT(ISNUMBER(L46)),L46&lt;1,L46&gt;5),"格式错误","可导入")))))</f>
        <v/>
      </c>
      <c r="B46" s="90" t="str"/>
      <c r="C46" s="90" t="str"/>
      <c r="D46" s="90" t="str"/>
      <c r="E46" s="90" t="str"/>
      <c r="F46" s="90" t="str"/>
      <c r="G46" s="90" t="str"/>
      <c r="H46" s="90" t="str"/>
      <c r="I46" s="90" t="str"/>
      <c r="J46" s="90" t="str"/>
      <c r="K46" s="90" t="str"/>
      <c r="L46" s="119" t="str"/>
      <c r="M46" s="90" t="str"/>
      <c r="N46" s="90" t="str"/>
      <c r="O46" s="90" t="str"/>
      <c r="P46" s="90" t="str"/>
      <c r="Q46" s="90" t="str"/>
    </row>
    <row r="47">
      <c r="A47" s="118">
        <f>IF(COUNTA(B47:Q47)=0,"待填写",IF(OR(B47="",C47="",D47="",E47="",G47="",H47="",I47="",NOT(ISNUMBER(L47)),O47=""),"请补全必填",IF(COUNTIF($B$5:$B$54,B47)&gt;1,"ID重复",IF(ISNA(MATCH(M47,'_枚举'!$T$2:$T$5,0)),"枚举错误",IF(OR(NOT(ISNUMBER(L47)),L47&lt;1,L47&gt;5),"格式错误","可导入")))))</f>
        <v/>
      </c>
      <c r="B47" s="90" t="str"/>
      <c r="C47" s="90" t="str"/>
      <c r="D47" s="90" t="str"/>
      <c r="E47" s="90" t="str"/>
      <c r="F47" s="90" t="str"/>
      <c r="G47" s="90" t="str"/>
      <c r="H47" s="90" t="str"/>
      <c r="I47" s="90" t="str"/>
      <c r="J47" s="90" t="str"/>
      <c r="K47" s="90" t="str"/>
      <c r="L47" s="119" t="str"/>
      <c r="M47" s="90" t="str"/>
      <c r="N47" s="90" t="str"/>
      <c r="O47" s="90" t="str"/>
      <c r="P47" s="90" t="str"/>
      <c r="Q47" s="90" t="str"/>
    </row>
    <row r="48">
      <c r="A48" s="118">
        <f>IF(COUNTA(B48:Q48)=0,"待填写",IF(OR(B48="",C48="",D48="",E48="",G48="",H48="",I48="",NOT(ISNUMBER(L48)),O48=""),"请补全必填",IF(COUNTIF($B$5:$B$54,B48)&gt;1,"ID重复",IF(ISNA(MATCH(M48,'_枚举'!$T$2:$T$5,0)),"枚举错误",IF(OR(NOT(ISNUMBER(L48)),L48&lt;1,L48&gt;5),"格式错误","可导入")))))</f>
        <v/>
      </c>
      <c r="B48" s="90" t="str"/>
      <c r="C48" s="90" t="str"/>
      <c r="D48" s="90" t="str"/>
      <c r="E48" s="90" t="str"/>
      <c r="F48" s="90" t="str"/>
      <c r="G48" s="90" t="str"/>
      <c r="H48" s="90" t="str"/>
      <c r="I48" s="90" t="str"/>
      <c r="J48" s="90" t="str"/>
      <c r="K48" s="90" t="str"/>
      <c r="L48" s="119" t="str"/>
      <c r="M48" s="90" t="str"/>
      <c r="N48" s="90" t="str"/>
      <c r="O48" s="90" t="str"/>
      <c r="P48" s="90" t="str"/>
      <c r="Q48" s="90" t="str"/>
    </row>
    <row r="49">
      <c r="A49" s="118">
        <f>IF(COUNTA(B49:Q49)=0,"待填写",IF(OR(B49="",C49="",D49="",E49="",G49="",H49="",I49="",NOT(ISNUMBER(L49)),O49=""),"请补全必填",IF(COUNTIF($B$5:$B$54,B49)&gt;1,"ID重复",IF(ISNA(MATCH(M49,'_枚举'!$T$2:$T$5,0)),"枚举错误",IF(OR(NOT(ISNUMBER(L49)),L49&lt;1,L49&gt;5),"格式错误","可导入")))))</f>
        <v/>
      </c>
      <c r="B49" s="90" t="str"/>
      <c r="C49" s="90" t="str"/>
      <c r="D49" s="90" t="str"/>
      <c r="E49" s="90" t="str"/>
      <c r="F49" s="90" t="str"/>
      <c r="G49" s="90" t="str"/>
      <c r="H49" s="90" t="str"/>
      <c r="I49" s="90" t="str"/>
      <c r="J49" s="90" t="str"/>
      <c r="K49" s="90" t="str"/>
      <c r="L49" s="119" t="str"/>
      <c r="M49" s="90" t="str"/>
      <c r="N49" s="90" t="str"/>
      <c r="O49" s="90" t="str"/>
      <c r="P49" s="90" t="str"/>
      <c r="Q49" s="90" t="str"/>
    </row>
    <row r="50">
      <c r="A50" s="118">
        <f>IF(COUNTA(B50:Q50)=0,"待填写",IF(OR(B50="",C50="",D50="",E50="",G50="",H50="",I50="",NOT(ISNUMBER(L50)),O50=""),"请补全必填",IF(COUNTIF($B$5:$B$54,B50)&gt;1,"ID重复",IF(ISNA(MATCH(M50,'_枚举'!$T$2:$T$5,0)),"枚举错误",IF(OR(NOT(ISNUMBER(L50)),L50&lt;1,L50&gt;5),"格式错误","可导入")))))</f>
        <v/>
      </c>
      <c r="B50" s="90" t="str"/>
      <c r="C50" s="90" t="str"/>
      <c r="D50" s="90" t="str"/>
      <c r="E50" s="90" t="str"/>
      <c r="F50" s="90" t="str"/>
      <c r="G50" s="90" t="str"/>
      <c r="H50" s="90" t="str"/>
      <c r="I50" s="90" t="str"/>
      <c r="J50" s="90" t="str"/>
      <c r="K50" s="90" t="str"/>
      <c r="L50" s="119" t="str"/>
      <c r="M50" s="90" t="str"/>
      <c r="N50" s="90" t="str"/>
      <c r="O50" s="90" t="str"/>
      <c r="P50" s="90" t="str"/>
      <c r="Q50" s="90" t="str"/>
    </row>
    <row r="51">
      <c r="A51" s="118">
        <f>IF(COUNTA(B51:Q51)=0,"待填写",IF(OR(B51="",C51="",D51="",E51="",G51="",H51="",I51="",NOT(ISNUMBER(L51)),O51=""),"请补全必填",IF(COUNTIF($B$5:$B$54,B51)&gt;1,"ID重复",IF(ISNA(MATCH(M51,'_枚举'!$T$2:$T$5,0)),"枚举错误",IF(OR(NOT(ISNUMBER(L51)),L51&lt;1,L51&gt;5),"格式错误","可导入")))))</f>
        <v/>
      </c>
      <c r="B51" s="90" t="str"/>
      <c r="C51" s="90" t="str"/>
      <c r="D51" s="90" t="str"/>
      <c r="E51" s="90" t="str"/>
      <c r="F51" s="90" t="str"/>
      <c r="G51" s="90" t="str"/>
      <c r="H51" s="90" t="str"/>
      <c r="I51" s="90" t="str"/>
      <c r="J51" s="90" t="str"/>
      <c r="K51" s="90" t="str"/>
      <c r="L51" s="119" t="str"/>
      <c r="M51" s="90" t="str"/>
      <c r="N51" s="90" t="str"/>
      <c r="O51" s="90" t="str"/>
      <c r="P51" s="90" t="str"/>
      <c r="Q51" s="90" t="str"/>
    </row>
    <row r="52">
      <c r="A52" s="118">
        <f>IF(COUNTA(B52:Q52)=0,"待填写",IF(OR(B52="",C52="",D52="",E52="",G52="",H52="",I52="",NOT(ISNUMBER(L52)),O52=""),"请补全必填",IF(COUNTIF($B$5:$B$54,B52)&gt;1,"ID重复",IF(ISNA(MATCH(M52,'_枚举'!$T$2:$T$5,0)),"枚举错误",IF(OR(NOT(ISNUMBER(L52)),L52&lt;1,L52&gt;5),"格式错误","可导入")))))</f>
        <v/>
      </c>
      <c r="B52" s="90" t="str"/>
      <c r="C52" s="90" t="str"/>
      <c r="D52" s="90" t="str"/>
      <c r="E52" s="90" t="str"/>
      <c r="F52" s="90" t="str"/>
      <c r="G52" s="90" t="str"/>
      <c r="H52" s="90" t="str"/>
      <c r="I52" s="90" t="str"/>
      <c r="J52" s="90" t="str"/>
      <c r="K52" s="90" t="str"/>
      <c r="L52" s="119" t="str"/>
      <c r="M52" s="90" t="str"/>
      <c r="N52" s="90" t="str"/>
      <c r="O52" s="90" t="str"/>
      <c r="P52" s="90" t="str"/>
      <c r="Q52" s="90" t="str"/>
    </row>
    <row r="53">
      <c r="A53" s="118">
        <f>IF(COUNTA(B53:Q53)=0,"待填写",IF(OR(B53="",C53="",D53="",E53="",G53="",H53="",I53="",NOT(ISNUMBER(L53)),O53=""),"请补全必填",IF(COUNTIF($B$5:$B$54,B53)&gt;1,"ID重复",IF(ISNA(MATCH(M53,'_枚举'!$T$2:$T$5,0)),"枚举错误",IF(OR(NOT(ISNUMBER(L53)),L53&lt;1,L53&gt;5),"格式错误","可导入")))))</f>
        <v/>
      </c>
      <c r="B53" s="90" t="str"/>
      <c r="C53" s="90" t="str"/>
      <c r="D53" s="90" t="str"/>
      <c r="E53" s="90" t="str"/>
      <c r="F53" s="90" t="str"/>
      <c r="G53" s="90" t="str"/>
      <c r="H53" s="90" t="str"/>
      <c r="I53" s="90" t="str"/>
      <c r="J53" s="90" t="str"/>
      <c r="K53" s="90" t="str"/>
      <c r="L53" s="119" t="str"/>
      <c r="M53" s="90" t="str"/>
      <c r="N53" s="90" t="str"/>
      <c r="O53" s="90" t="str"/>
      <c r="P53" s="90" t="str"/>
      <c r="Q53" s="90" t="str"/>
    </row>
    <row r="54">
      <c r="A54" s="120">
        <f>IF(COUNTA(B54:Q54)=0,"待填写",IF(OR(B54="",C54="",D54="",E54="",G54="",H54="",I54="",NOT(ISNUMBER(L54)),O54=""),"请补全必填",IF(COUNTIF($B$5:$B$54,B54)&gt;1,"ID重复",IF(ISNA(MATCH(M54,'_枚举'!$T$2:$T$5,0)),"枚举错误",IF(OR(NOT(ISNUMBER(L54)),L54&lt;1,L54&gt;5),"格式错误","可导入")))))</f>
        <v/>
      </c>
      <c r="B54" s="91" t="str"/>
      <c r="C54" s="91" t="str"/>
      <c r="D54" s="91" t="str"/>
      <c r="E54" s="91" t="str"/>
      <c r="F54" s="91" t="str"/>
      <c r="G54" s="91" t="str"/>
      <c r="H54" s="91" t="str"/>
      <c r="I54" s="91" t="str"/>
      <c r="J54" s="91" t="str"/>
      <c r="K54" s="91" t="str"/>
      <c r="L54" s="121" t="str"/>
      <c r="M54" s="91" t="str"/>
      <c r="N54" s="91" t="str"/>
      <c r="O54" s="91" t="str"/>
      <c r="P54" s="91" t="str"/>
      <c r="Q54" s="91" t="str"/>
    </row>
  </sheetData>
  <mergeCells count="1">
    <mergeCell ref="A1:Q2"/>
  </mergeCells>
  <conditionalFormatting sqref="A4:Q54">
    <cfRule type="containsText" priority="1" operator="containsText" dxfId="0" text="可导入"/>
    <cfRule type="containsText" priority="2" operator="containsText" dxfId="1" text="请补全必填"/>
    <cfRule type="containsText" priority="3" operator="containsText" dxfId="2" text="待填写"/>
  </conditionalFormatting>
  <conditionalFormatting sqref="A5:A54">
    <cfRule type="cellIs" priority="4" operator="equal" dxfId="9">
      <formula>"可导入"</formula>
    </cfRule>
    <cfRule type="cellIs" priority="5" operator="equal" dxfId="10">
      <formula>"请补全必填"</formula>
    </cfRule>
    <cfRule type="cellIs" priority="6" operator="equal" dxfId="11">
      <formula>"ID重复"</formula>
    </cfRule>
    <cfRule type="cellIs" priority="7" operator="equal" dxfId="11">
      <formula>"关联不存在"</formula>
    </cfRule>
    <cfRule type="cellIs" priority="8" operator="equal" dxfId="12">
      <formula>"格式错误"</formula>
    </cfRule>
    <cfRule type="cellIs" priority="9" operator="equal" dxfId="12">
      <formula>"枚举错误"</formula>
    </cfRule>
    <cfRule type="cellIs" priority="10" operator="equal" dxfId="13">
      <formula>"待人工复核"</formula>
    </cfRule>
    <cfRule type="cellIs" priority="11" operator="equal" dxfId="10">
      <formula>"待填写"</formula>
    </cfRule>
  </conditionalFormatting>
  <dataValidations count="3">
    <dataValidation sqref="L5:L54" showDropDown="0" showInputMessage="0" showErrorMessage="0" allowBlank="0" type="list">
      <formula1>"1,2,3,4,5"</formula1>
    </dataValidation>
    <dataValidation sqref="M5:M54" showDropDown="0" showInputMessage="0" showErrorMessage="0" allowBlank="0" type="list">
      <formula1>"regular,limited,seasonal,discontinued"</formula1>
    </dataValidation>
    <dataValidation sqref="M5:M5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'_枚举'!$T$2:$T$5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6B4F68"/>
    <outlinePr summaryBelow="1" summaryRight="1"/>
    <pageSetUpPr/>
  </sheetPr>
  <dimension ref="A1:AG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6" customWidth="1" min="4" max="4"/>
    <col width="24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23" customWidth="1" min="13" max="13"/>
    <col width="23" customWidth="1" min="14" max="14"/>
    <col width="38" customWidth="1" min="15" max="15"/>
    <col width="18" customWidth="1" min="16" max="16"/>
    <col width="18" customWidth="1" min="17" max="17"/>
    <col width="15" customWidth="1" min="18" max="18"/>
    <col width="15" customWidth="1" min="19" max="19"/>
    <col width="16" customWidth="1" min="20" max="20"/>
    <col width="30" customWidth="1" min="21" max="21"/>
    <col width="30" customWidth="1" min="22" max="22"/>
    <col width="30" customWidth="1" min="23" max="23"/>
    <col width="28" customWidth="1" min="24" max="24"/>
    <col width="20" customWidth="1" min="25" max="25"/>
    <col width="23" customWidth="1" min="26" max="26"/>
    <col width="14" customWidth="1" min="27" max="27"/>
    <col width="14" customWidth="1" min="28" max="28"/>
    <col width="28" customWidth="1" min="29" max="29"/>
    <col width="18" customWidth="1" min="30" max="30"/>
    <col width="22" customWidth="1" min="31" max="31"/>
    <col width="22" customWidth="1" min="32" max="32"/>
    <col width="18" customWidth="1" min="33" max="33"/>
  </cols>
  <sheetData>
    <row r="1" ht="28" customHeight="1">
      <c r="A1" s="122" t="inlineStr">
        <is>
          <t>珠子 SKU｜水晶种类 + 形状 + 尺寸 + 工艺 = 一个 SKU</t>
        </is>
      </c>
    </row>
    <row r="2" ht="28" customHeight="1"/>
    <row r="3" ht="30" customHeight="1">
      <c r="A3" s="123" t="inlineStr">
        <is>
          <t>紫色表头中带 * 的字段为必填；市场品质只使用商业描述枚举，不代表国家标准或宝石学鉴定结论。</t>
        </is>
      </c>
    </row>
    <row r="4" ht="32" customHeight="1">
      <c r="A4" s="124" t="inlineStr">
        <is>
          <t>导入状态</t>
        </is>
      </c>
      <c r="B4" s="124" t="inlineStr">
        <is>
          <t>product_id*</t>
        </is>
      </c>
      <c r="C4" s="124" t="inlineStr">
        <is>
          <t>sku*</t>
        </is>
      </c>
      <c r="D4" s="124" t="inlineStr">
        <is>
          <t>crystal_id*</t>
        </is>
      </c>
      <c r="E4" s="124" t="inlineStr">
        <is>
          <t>商品名称*</t>
        </is>
      </c>
      <c r="F4" s="124" t="inlineStr">
        <is>
          <t>形状*</t>
        </is>
      </c>
      <c r="G4" s="124" t="inlineStr">
        <is>
          <t>直径_mm</t>
        </is>
      </c>
      <c r="H4" s="124" t="inlineStr">
        <is>
          <t>长度_mm</t>
        </is>
      </c>
      <c r="I4" s="124" t="inlineStr">
        <is>
          <t>宽度_mm</t>
        </is>
      </c>
      <c r="J4" s="124" t="inlineStr">
        <is>
          <t>高度_mm</t>
        </is>
      </c>
      <c r="K4" s="124" t="inlineStr">
        <is>
          <t>孔径_mm</t>
        </is>
      </c>
      <c r="L4" s="124" t="inlineStr">
        <is>
          <t>切面类型</t>
        </is>
      </c>
      <c r="M4" s="124" t="inlineStr">
        <is>
          <t>市场品质等级*</t>
        </is>
      </c>
      <c r="N4" s="124" t="inlineStr">
        <is>
          <t>品质信息来源*</t>
        </is>
      </c>
      <c r="O4" s="124" t="inlineStr">
        <is>
          <t>品质备注</t>
        </is>
      </c>
      <c r="P4" s="124" t="inlineStr">
        <is>
          <t>计价单位*</t>
        </is>
      </c>
      <c r="Q4" s="124" t="inlineStr">
        <is>
          <t>单位包含数量*</t>
        </is>
      </c>
      <c r="R4" s="124" t="inlineStr">
        <is>
          <t>每串颗数</t>
        </is>
      </c>
      <c r="S4" s="124" t="inlineStr">
        <is>
          <t>串长_mm</t>
        </is>
      </c>
      <c r="T4" s="124" t="inlineStr">
        <is>
          <t>默认损耗率*</t>
        </is>
      </c>
      <c r="U4" s="124" t="inlineStr">
        <is>
          <t>material_key*</t>
        </is>
      </c>
      <c r="V4" s="124" t="inlineStr">
        <is>
          <t>model_asset_key</t>
        </is>
      </c>
      <c r="W4" s="124" t="inlineStr">
        <is>
          <t>texture_asset_key</t>
        </is>
      </c>
      <c r="X4" s="124" t="inlineStr">
        <is>
          <t>商品主图文件名*</t>
        </is>
      </c>
      <c r="Y4" s="124" t="inlineStr">
        <is>
          <t>是否经过人工确认*</t>
        </is>
      </c>
      <c r="Z4" s="124" t="inlineStr">
        <is>
          <t>是否适合进入AI设计库*</t>
        </is>
      </c>
      <c r="AA4" s="124" t="inlineStr">
        <is>
          <t>是否上架*</t>
        </is>
      </c>
      <c r="AB4" s="124" t="inlineStr">
        <is>
          <t>展示排序</t>
        </is>
      </c>
      <c r="AC4" s="124" t="inlineStr">
        <is>
          <t>备注</t>
        </is>
      </c>
      <c r="AD4" s="124" t="inlineStr">
        <is>
          <t>币种*（保留业务字段）</t>
        </is>
      </c>
      <c r="AE4" s="124" t="inlineStr">
        <is>
          <t>售价_最小单位*（保留业务字段）</t>
        </is>
      </c>
      <c r="AF4" s="124" t="inlineStr">
        <is>
          <t>成本_最小单位*（保留业务字段）</t>
        </is>
      </c>
      <c r="AG4" s="124" t="inlineStr">
        <is>
          <t>可用库存*（保留业务字段）</t>
        </is>
      </c>
    </row>
    <row r="5">
      <c r="A5" s="118">
        <f>IF(COUNTA(B5:AG5)=0,"待填写",IF(OR(B5="",C5="",D5="",E5="",F5="",AND(G5="",H5="",I5="",J5=""),M5="",N5="",P5="",NOT(ISNUMBER(Q5)),NOT(ISNUMBER(T5)),U5="",X5="",Y5="",Z5="",AA5="",AD5="",NOT(ISNUMBER(AE5)),NOT(ISNUMBER(AF5)),NOT(ISNUMBER(AG5))),"请补全必填",IF(OR(COUNTIF($B$5:$B$104,B5)&gt;1,COUNTIF($C$5:$C$104,C5)&gt;1),"ID重复",IF(COUNTIF('水晶主数据'!$B$5:$B$54,D5)=0,"关联不存在",IF(OR(ISNA(MATCH(F5,'_枚举'!$D$2:$D$7,0)),AND(L5&lt;&gt;"",ISNA(MATCH(L5,'_枚举'!$E$2:$E$6,0))),ISNA(MATCH(M5,'_枚举'!$A$2:$A$4,0)),ISNA(MATCH(N5,'_枚举'!$B$2:$B$5,0)),ISNA(MATCH(P5,'_枚举'!$F$2:$F$5,0)),ISNA(MATCH(Y5,'_枚举'!$C$2:$C$3,0)),ISNA(MATCH(Z5,'_枚举'!$C$2:$C$3,0)),ISNA(MATCH(AA5,'_枚举'!$C$2:$C$3,0)),ISNA(MATCH(AD5,'_枚举'!$G$2:$G$3,0))),"枚举错误",IF(OR(AND(G5&lt;&gt;"",OR(NOT(ISNUMBER(G5)),G5&lt;=0)),AND(H5&lt;&gt;"",OR(NOT(ISNUMBER(H5)),H5&lt;=0)),AND(I5&lt;&gt;"",OR(NOT(ISNUMBER(I5)),I5&lt;=0)),AND(J5&lt;&gt;"",OR(NOT(ISNUMBER(J5)),J5&lt;=0)),AND(K5&lt;&gt;"",OR(NOT(ISNUMBER(K5)),K5&lt;=0)),NOT(ISNUMBER(Q5)),Q5&lt;=0,AND(R5&lt;&gt;"",OR(NOT(ISNUMBER(R5)),R5&lt;=0)),AND(S5&lt;&gt;"",OR(NOT(ISNUMBER(S5)),S5&lt;=0)),NOT(ISNUMBER(T5)),T5&lt;0,T5&gt;1,NOT(ISNUMBER(AE5)),AE5&lt;0,NOT(ISNUMBER(AF5)),AF5&lt;0,NOT(ISNUMBER(AG5)),AG5&lt;0,AND(AB5&lt;&gt;"",NOT(ISNUMBER(AB5)))),"格式错误",IF(AND(Z5="TRUE",OR(Y5&lt;&gt;"TRUE",M5="UNKNOWN")),"待人工复核","可导入")))))))</f>
        <v/>
      </c>
      <c r="B5" s="125" t="inlineStr">
        <is>
          <t>product-aquamarine-round-8</t>
        </is>
      </c>
      <c r="C5" s="125" t="inlineStr">
        <is>
          <t>AQ-CNY-8</t>
        </is>
      </c>
      <c r="D5" s="125" t="inlineStr">
        <is>
          <t>crystal-aquamarine</t>
        </is>
      </c>
      <c r="E5" s="125" t="inlineStr">
        <is>
          <t>海蓝宝圆珠 8mm</t>
        </is>
      </c>
      <c r="F5" s="125" t="inlineStr">
        <is>
          <t>ROUND</t>
        </is>
      </c>
      <c r="G5" s="126" t="n">
        <v>8</v>
      </c>
      <c r="H5" s="126" t="n"/>
      <c r="I5" s="126" t="n"/>
      <c r="J5" s="126" t="n"/>
      <c r="K5" s="125" t="n">
        <v>1</v>
      </c>
      <c r="L5" s="127" t="inlineStr">
        <is>
          <t>NONE</t>
        </is>
      </c>
      <c r="M5" s="127" t="inlineStr">
        <is>
          <t>COMMERCIAL_A</t>
        </is>
      </c>
      <c r="N5" s="125" t="inlineStr">
        <is>
          <t>MARKET_DESCRIPTION</t>
        </is>
      </c>
      <c r="O5" s="125" t="inlineStr">
        <is>
          <t>普通市场货，颜色和纹理存在自然差异，以当前批次实拍图为准。</t>
        </is>
      </c>
      <c r="P5" s="125" t="inlineStr">
        <is>
          <t>PER_BEAD</t>
        </is>
      </c>
      <c r="Q5" s="127" t="n">
        <v>1</v>
      </c>
      <c r="R5" s="125" t="n"/>
      <c r="S5" s="125" t="n"/>
      <c r="T5" s="128" t="n">
        <v>0.03</v>
      </c>
      <c r="U5" s="125" t="inlineStr">
        <is>
          <t>crystal-aquamarine-material-v1</t>
        </is>
      </c>
      <c r="V5" s="125" t="inlineStr">
        <is>
          <t>sphere-round-8mm-v1</t>
        </is>
      </c>
      <c r="W5" s="125" t="inlineStr">
        <is>
          <t>crystal-aquamarine-texture-v1</t>
        </is>
      </c>
      <c r="X5" s="125" t="inlineStr">
        <is>
          <t>aquamarine-round-8.png</t>
        </is>
      </c>
      <c r="Y5" s="125" t="inlineStr">
        <is>
          <t>TRUE</t>
        </is>
      </c>
      <c r="Z5" s="125" t="inlineStr">
        <is>
          <t>TRUE</t>
        </is>
      </c>
      <c r="AA5" s="125" t="inlineStr">
        <is>
          <t>TRUE</t>
        </is>
      </c>
      <c r="AB5" s="125" t="n">
        <v>10</v>
      </c>
      <c r="AC5" s="125" t="inlineStr">
        <is>
          <t>示例</t>
        </is>
      </c>
      <c r="AD5" s="125" t="inlineStr">
        <is>
          <t>CNY</t>
        </is>
      </c>
      <c r="AE5" s="127" t="n">
        <v>1200</v>
      </c>
      <c r="AF5" s="127" t="n">
        <v>504</v>
      </c>
      <c r="AG5" s="127" t="n">
        <v>100</v>
      </c>
    </row>
    <row r="6">
      <c r="A6" s="118">
        <f>IF(COUNTA(B6:AG6)=0,"待填写",IF(OR(B6="",C6="",D6="",E6="",F6="",AND(G6="",H6="",I6="",J6=""),M6="",N6="",P6="",NOT(ISNUMBER(Q6)),NOT(ISNUMBER(T6)),U6="",X6="",Y6="",Z6="",AA6="",AD6="",NOT(ISNUMBER(AE6)),NOT(ISNUMBER(AF6)),NOT(ISNUMBER(AG6))),"请补全必填",IF(OR(COUNTIF($B$5:$B$104,B6)&gt;1,COUNTIF($C$5:$C$104,C6)&gt;1),"ID重复",IF(COUNTIF('水晶主数据'!$B$5:$B$54,D6)=0,"关联不存在",IF(OR(ISNA(MATCH(F6,'_枚举'!$D$2:$D$7,0)),AND(L6&lt;&gt;"",ISNA(MATCH(L6,'_枚举'!$E$2:$E$6,0))),ISNA(MATCH(M6,'_枚举'!$A$2:$A$4,0)),ISNA(MATCH(N6,'_枚举'!$B$2:$B$5,0)),ISNA(MATCH(P6,'_枚举'!$F$2:$F$5,0)),ISNA(MATCH(Y6,'_枚举'!$C$2:$C$3,0)),ISNA(MATCH(Z6,'_枚举'!$C$2:$C$3,0)),ISNA(MATCH(AA6,'_枚举'!$C$2:$C$3,0)),ISNA(MATCH(AD6,'_枚举'!$G$2:$G$3,0))),"枚举错误",IF(OR(AND(G6&lt;&gt;"",OR(NOT(ISNUMBER(G6)),G6&lt;=0)),AND(H6&lt;&gt;"",OR(NOT(ISNUMBER(H6)),H6&lt;=0)),AND(I6&lt;&gt;"",OR(NOT(ISNUMBER(I6)),I6&lt;=0)),AND(J6&lt;&gt;"",OR(NOT(ISNUMBER(J6)),J6&lt;=0)),AND(K6&lt;&gt;"",OR(NOT(ISNUMBER(K6)),K6&lt;=0)),NOT(ISNUMBER(Q6)),Q6&lt;=0,AND(R6&lt;&gt;"",OR(NOT(ISNUMBER(R6)),R6&lt;=0)),AND(S6&lt;&gt;"",OR(NOT(ISNUMBER(S6)),S6&lt;=0)),NOT(ISNUMBER(T6)),T6&lt;0,T6&gt;1,NOT(ISNUMBER(AE6)),AE6&lt;0,NOT(ISNUMBER(AF6)),AF6&lt;0,NOT(ISNUMBER(AG6)),AG6&lt;0,AND(AB6&lt;&gt;"",NOT(ISNUMBER(AB6)))),"格式错误",IF(AND(Z6="TRUE",OR(Y6&lt;&gt;"TRUE",M6="UNKNOWN")),"待人工复核","可导入")))))))</f>
        <v/>
      </c>
      <c r="B6" s="125" t="inlineStr">
        <is>
          <t>product-moonstone-round-6</t>
        </is>
      </c>
      <c r="C6" s="125" t="inlineStr">
        <is>
          <t>MO-CNY-6</t>
        </is>
      </c>
      <c r="D6" s="125" t="inlineStr">
        <is>
          <t>crystal-moonstone</t>
        </is>
      </c>
      <c r="E6" s="125" t="inlineStr">
        <is>
          <t>月光石圆珠 6mm</t>
        </is>
      </c>
      <c r="F6" s="125" t="inlineStr">
        <is>
          <t>ROUND</t>
        </is>
      </c>
      <c r="G6" s="126" t="n">
        <v>6</v>
      </c>
      <c r="H6" s="126" t="n"/>
      <c r="I6" s="126" t="n"/>
      <c r="J6" s="126" t="n"/>
      <c r="K6" s="125" t="n">
        <v>1</v>
      </c>
      <c r="L6" s="127" t="inlineStr">
        <is>
          <t>NONE</t>
        </is>
      </c>
      <c r="M6" s="127" t="inlineStr">
        <is>
          <t>COMMERCIAL_A</t>
        </is>
      </c>
      <c r="N6" s="125" t="inlineStr">
        <is>
          <t>MARKET_DESCRIPTION</t>
        </is>
      </c>
      <c r="O6" s="125" t="inlineStr">
        <is>
          <t>普通市场货，颜色和纹理存在自然差异，以当前批次实拍图为准。</t>
        </is>
      </c>
      <c r="P6" s="125" t="inlineStr">
        <is>
          <t>PER_BEAD</t>
        </is>
      </c>
      <c r="Q6" s="127" t="n">
        <v>1</v>
      </c>
      <c r="R6" s="125" t="n"/>
      <c r="S6" s="125" t="n"/>
      <c r="T6" s="128" t="n">
        <v>0.03</v>
      </c>
      <c r="U6" s="125" t="inlineStr">
        <is>
          <t>crystal-moonstone-material-v1</t>
        </is>
      </c>
      <c r="V6" s="125" t="inlineStr">
        <is>
          <t>sphere-round-6mm-v1</t>
        </is>
      </c>
      <c r="W6" s="125" t="inlineStr">
        <is>
          <t>crystal-moonstone-texture-v1</t>
        </is>
      </c>
      <c r="X6" s="125" t="inlineStr">
        <is>
          <t>moonstone-round-6.png</t>
        </is>
      </c>
      <c r="Y6" s="125" t="inlineStr">
        <is>
          <t>TRUE</t>
        </is>
      </c>
      <c r="Z6" s="125" t="inlineStr">
        <is>
          <t>TRUE</t>
        </is>
      </c>
      <c r="AA6" s="125" t="inlineStr">
        <is>
          <t>TRUE</t>
        </is>
      </c>
      <c r="AB6" s="125" t="n">
        <v>20</v>
      </c>
      <c r="AC6" s="125" t="inlineStr">
        <is>
          <t>示例</t>
        </is>
      </c>
      <c r="AD6" s="125" t="inlineStr">
        <is>
          <t>CNY</t>
        </is>
      </c>
      <c r="AE6" s="127" t="n">
        <v>800</v>
      </c>
      <c r="AF6" s="127" t="n">
        <v>336</v>
      </c>
      <c r="AG6" s="127" t="n">
        <v>100</v>
      </c>
    </row>
    <row r="7">
      <c r="A7" s="118">
        <f>IF(COUNTA(B7:AG7)=0,"待填写",IF(OR(B7="",C7="",D7="",E7="",F7="",AND(G7="",H7="",I7="",J7=""),M7="",N7="",P7="",NOT(ISNUMBER(Q7)),NOT(ISNUMBER(T7)),U7="",X7="",Y7="",Z7="",AA7="",AD7="",NOT(ISNUMBER(AE7)),NOT(ISNUMBER(AF7)),NOT(ISNUMBER(AG7))),"请补全必填",IF(OR(COUNTIF($B$5:$B$104,B7)&gt;1,COUNTIF($C$5:$C$104,C7)&gt;1),"ID重复",IF(COUNTIF('水晶主数据'!$B$5:$B$54,D7)=0,"关联不存在",IF(OR(ISNA(MATCH(F7,'_枚举'!$D$2:$D$7,0)),AND(L7&lt;&gt;"",ISNA(MATCH(L7,'_枚举'!$E$2:$E$6,0))),ISNA(MATCH(M7,'_枚举'!$A$2:$A$4,0)),ISNA(MATCH(N7,'_枚举'!$B$2:$B$5,0)),ISNA(MATCH(P7,'_枚举'!$F$2:$F$5,0)),ISNA(MATCH(Y7,'_枚举'!$C$2:$C$3,0)),ISNA(MATCH(Z7,'_枚举'!$C$2:$C$3,0)),ISNA(MATCH(AA7,'_枚举'!$C$2:$C$3,0)),ISNA(MATCH(AD7,'_枚举'!$G$2:$G$3,0))),"枚举错误",IF(OR(AND(G7&lt;&gt;"",OR(NOT(ISNUMBER(G7)),G7&lt;=0)),AND(H7&lt;&gt;"",OR(NOT(ISNUMBER(H7)),H7&lt;=0)),AND(I7&lt;&gt;"",OR(NOT(ISNUMBER(I7)),I7&lt;=0)),AND(J7&lt;&gt;"",OR(NOT(ISNUMBER(J7)),J7&lt;=0)),AND(K7&lt;&gt;"",OR(NOT(ISNUMBER(K7)),K7&lt;=0)),NOT(ISNUMBER(Q7)),Q7&lt;=0,AND(R7&lt;&gt;"",OR(NOT(ISNUMBER(R7)),R7&lt;=0)),AND(S7&lt;&gt;"",OR(NOT(ISNUMBER(S7)),S7&lt;=0)),NOT(ISNUMBER(T7)),T7&lt;0,T7&gt;1,NOT(ISNUMBER(AE7)),AE7&lt;0,NOT(ISNUMBER(AF7)),AF7&lt;0,NOT(ISNUMBER(AG7)),AG7&lt;0,AND(AB7&lt;&gt;"",NOT(ISNUMBER(AB7)))),"格式错误",IF(AND(Z7="TRUE",OR(Y7&lt;&gt;"TRUE",M7="UNKNOWN")),"待人工复核","可导入")))))))</f>
        <v/>
      </c>
      <c r="B7" s="125" t="inlineStr">
        <is>
          <t>product-quartz-round-10</t>
        </is>
      </c>
      <c r="C7" s="125" t="inlineStr">
        <is>
          <t>QU-CNY-10</t>
        </is>
      </c>
      <c r="D7" s="125" t="inlineStr">
        <is>
          <t>crystal-clear-quartz</t>
        </is>
      </c>
      <c r="E7" s="125" t="inlineStr">
        <is>
          <t>白水晶圆珠 10mm</t>
        </is>
      </c>
      <c r="F7" s="125" t="inlineStr">
        <is>
          <t>ROUND</t>
        </is>
      </c>
      <c r="G7" s="126" t="n">
        <v>10</v>
      </c>
      <c r="H7" s="126" t="n"/>
      <c r="I7" s="126" t="n"/>
      <c r="J7" s="126" t="n"/>
      <c r="K7" s="125" t="n">
        <v>1</v>
      </c>
      <c r="L7" s="127" t="inlineStr">
        <is>
          <t>NONE</t>
        </is>
      </c>
      <c r="M7" s="127" t="inlineStr">
        <is>
          <t>COMMERCIAL_A</t>
        </is>
      </c>
      <c r="N7" s="125" t="inlineStr">
        <is>
          <t>MARKET_DESCRIPTION</t>
        </is>
      </c>
      <c r="O7" s="125" t="inlineStr">
        <is>
          <t>普通市场货，颜色和纹理存在自然差异，以当前批次实拍图为准。</t>
        </is>
      </c>
      <c r="P7" s="125" t="inlineStr">
        <is>
          <t>PER_BEAD</t>
        </is>
      </c>
      <c r="Q7" s="127" t="n">
        <v>1</v>
      </c>
      <c r="R7" s="125" t="n"/>
      <c r="S7" s="125" t="n"/>
      <c r="T7" s="128" t="n">
        <v>0.03</v>
      </c>
      <c r="U7" s="125" t="inlineStr">
        <is>
          <t>crystal-clear-quartz-material-v1</t>
        </is>
      </c>
      <c r="V7" s="125" t="inlineStr">
        <is>
          <t>sphere-round-10mm-v1</t>
        </is>
      </c>
      <c r="W7" s="125" t="inlineStr">
        <is>
          <t>crystal-clear-quartz-texture-v1</t>
        </is>
      </c>
      <c r="X7" s="125" t="inlineStr">
        <is>
          <t>clear-quartz-round-10.png</t>
        </is>
      </c>
      <c r="Y7" s="125" t="inlineStr">
        <is>
          <t>TRUE</t>
        </is>
      </c>
      <c r="Z7" s="125" t="inlineStr">
        <is>
          <t>TRUE</t>
        </is>
      </c>
      <c r="AA7" s="125" t="inlineStr">
        <is>
          <t>TRUE</t>
        </is>
      </c>
      <c r="AB7" s="125" t="n">
        <v>30</v>
      </c>
      <c r="AC7" s="125" t="inlineStr">
        <is>
          <t>示例</t>
        </is>
      </c>
      <c r="AD7" s="125" t="inlineStr">
        <is>
          <t>CNY</t>
        </is>
      </c>
      <c r="AE7" s="127" t="n">
        <v>1000</v>
      </c>
      <c r="AF7" s="127" t="n">
        <v>420</v>
      </c>
      <c r="AG7" s="127" t="n">
        <v>100</v>
      </c>
    </row>
    <row r="8">
      <c r="A8" s="118">
        <f>IF(COUNTA(B8:AG8)=0,"待填写",IF(OR(B8="",C8="",D8="",E8="",F8="",AND(G8="",H8="",I8="",J8=""),M8="",N8="",P8="",NOT(ISNUMBER(Q8)),NOT(ISNUMBER(T8)),U8="",X8="",Y8="",Z8="",AA8="",AD8="",NOT(ISNUMBER(AE8)),NOT(ISNUMBER(AF8)),NOT(ISNUMBER(AG8))),"请补全必填",IF(OR(COUNTIF($B$5:$B$104,B8)&gt;1,COUNTIF($C$5:$C$104,C8)&gt;1),"ID重复",IF(COUNTIF('水晶主数据'!$B$5:$B$54,D8)=0,"关联不存在",IF(OR(ISNA(MATCH(F8,'_枚举'!$D$2:$D$7,0)),AND(L8&lt;&gt;"",ISNA(MATCH(L8,'_枚举'!$E$2:$E$6,0))),ISNA(MATCH(M8,'_枚举'!$A$2:$A$4,0)),ISNA(MATCH(N8,'_枚举'!$B$2:$B$5,0)),ISNA(MATCH(P8,'_枚举'!$F$2:$F$5,0)),ISNA(MATCH(Y8,'_枚举'!$C$2:$C$3,0)),ISNA(MATCH(Z8,'_枚举'!$C$2:$C$3,0)),ISNA(MATCH(AA8,'_枚举'!$C$2:$C$3,0)),ISNA(MATCH(AD8,'_枚举'!$G$2:$G$3,0))),"枚举错误",IF(OR(AND(G8&lt;&gt;"",OR(NOT(ISNUMBER(G8)),G8&lt;=0)),AND(H8&lt;&gt;"",OR(NOT(ISNUMBER(H8)),H8&lt;=0)),AND(I8&lt;&gt;"",OR(NOT(ISNUMBER(I8)),I8&lt;=0)),AND(J8&lt;&gt;"",OR(NOT(ISNUMBER(J8)),J8&lt;=0)),AND(K8&lt;&gt;"",OR(NOT(ISNUMBER(K8)),K8&lt;=0)),NOT(ISNUMBER(Q8)),Q8&lt;=0,AND(R8&lt;&gt;"",OR(NOT(ISNUMBER(R8)),R8&lt;=0)),AND(S8&lt;&gt;"",OR(NOT(ISNUMBER(S8)),S8&lt;=0)),NOT(ISNUMBER(T8)),T8&lt;0,T8&gt;1,NOT(ISNUMBER(AE8)),AE8&lt;0,NOT(ISNUMBER(AF8)),AF8&lt;0,NOT(ISNUMBER(AG8)),AG8&lt;0,AND(AB8&lt;&gt;"",NOT(ISNUMBER(AB8)))),"格式错误",IF(AND(Z8="TRUE",OR(Y8&lt;&gt;"TRUE",M8="UNKNOWN")),"待人工复核","可导入")))))))</f>
        <v/>
      </c>
      <c r="B8" s="125" t="inlineStr">
        <is>
          <t>product-amethyst-faceted-8</t>
        </is>
      </c>
      <c r="C8" s="125" t="inlineStr">
        <is>
          <t>AM-CNY-8</t>
        </is>
      </c>
      <c r="D8" s="125" t="inlineStr">
        <is>
          <t>crystal-amethyst</t>
        </is>
      </c>
      <c r="E8" s="125" t="inlineStr">
        <is>
          <t>紫水晶切面珠 8mm</t>
        </is>
      </c>
      <c r="F8" s="125" t="inlineStr">
        <is>
          <t>FACETED</t>
        </is>
      </c>
      <c r="G8" s="126" t="n">
        <v>8</v>
      </c>
      <c r="H8" s="126" t="n"/>
      <c r="I8" s="126" t="n"/>
      <c r="J8" s="126" t="n"/>
      <c r="K8" s="125" t="n">
        <v>1</v>
      </c>
      <c r="L8" s="127" t="inlineStr">
        <is>
          <t>FACETED</t>
        </is>
      </c>
      <c r="M8" s="127" t="inlineStr">
        <is>
          <t>COMMERCIAL_A</t>
        </is>
      </c>
      <c r="N8" s="125" t="inlineStr">
        <is>
          <t>MARKET_DESCRIPTION</t>
        </is>
      </c>
      <c r="O8" s="125" t="inlineStr">
        <is>
          <t>普通市场货，颜色和纹理存在自然差异，以当前批次实拍图为准。</t>
        </is>
      </c>
      <c r="P8" s="125" t="inlineStr">
        <is>
          <t>PER_BEAD</t>
        </is>
      </c>
      <c r="Q8" s="127" t="n">
        <v>1</v>
      </c>
      <c r="R8" s="125" t="n"/>
      <c r="S8" s="125" t="n"/>
      <c r="T8" s="128" t="n">
        <v>0.03</v>
      </c>
      <c r="U8" s="125" t="inlineStr">
        <is>
          <t>crystal-amethyst-material-v1</t>
        </is>
      </c>
      <c r="V8" s="125" t="inlineStr">
        <is>
          <t>sphere-faceted-8mm-v1</t>
        </is>
      </c>
      <c r="W8" s="125" t="inlineStr">
        <is>
          <t>crystal-amethyst-texture-v1</t>
        </is>
      </c>
      <c r="X8" s="125" t="inlineStr">
        <is>
          <t>amethyst-faceted-8.png</t>
        </is>
      </c>
      <c r="Y8" s="125" t="inlineStr">
        <is>
          <t>TRUE</t>
        </is>
      </c>
      <c r="Z8" s="125" t="inlineStr">
        <is>
          <t>TRUE</t>
        </is>
      </c>
      <c r="AA8" s="125" t="inlineStr">
        <is>
          <t>TRUE</t>
        </is>
      </c>
      <c r="AB8" s="125" t="n">
        <v>40</v>
      </c>
      <c r="AC8" s="125" t="inlineStr">
        <is>
          <t>示例</t>
        </is>
      </c>
      <c r="AD8" s="125" t="inlineStr">
        <is>
          <t>CNY</t>
        </is>
      </c>
      <c r="AE8" s="127" t="n">
        <v>680</v>
      </c>
      <c r="AF8" s="127" t="n">
        <v>285</v>
      </c>
      <c r="AG8" s="127" t="n">
        <v>100</v>
      </c>
    </row>
    <row r="9">
      <c r="A9" s="118">
        <f>IF(COUNTA(B9:AG9)=0,"待填写",IF(OR(B9="",C9="",D9="",E9="",F9="",AND(G9="",H9="",I9="",J9=""),M9="",N9="",P9="",NOT(ISNUMBER(Q9)),NOT(ISNUMBER(T9)),U9="",X9="",Y9="",Z9="",AA9="",AD9="",NOT(ISNUMBER(AE9)),NOT(ISNUMBER(AF9)),NOT(ISNUMBER(AG9))),"请补全必填",IF(OR(COUNTIF($B$5:$B$104,B9)&gt;1,COUNTIF($C$5:$C$104,C9)&gt;1),"ID重复",IF(COUNTIF('水晶主数据'!$B$5:$B$54,D9)=0,"关联不存在",IF(OR(ISNA(MATCH(F9,'_枚举'!$D$2:$D$7,0)),AND(L9&lt;&gt;"",ISNA(MATCH(L9,'_枚举'!$E$2:$E$6,0))),ISNA(MATCH(M9,'_枚举'!$A$2:$A$4,0)),ISNA(MATCH(N9,'_枚举'!$B$2:$B$5,0)),ISNA(MATCH(P9,'_枚举'!$F$2:$F$5,0)),ISNA(MATCH(Y9,'_枚举'!$C$2:$C$3,0)),ISNA(MATCH(Z9,'_枚举'!$C$2:$C$3,0)),ISNA(MATCH(AA9,'_枚举'!$C$2:$C$3,0)),ISNA(MATCH(AD9,'_枚举'!$G$2:$G$3,0))),"枚举错误",IF(OR(AND(G9&lt;&gt;"",OR(NOT(ISNUMBER(G9)),G9&lt;=0)),AND(H9&lt;&gt;"",OR(NOT(ISNUMBER(H9)),H9&lt;=0)),AND(I9&lt;&gt;"",OR(NOT(ISNUMBER(I9)),I9&lt;=0)),AND(J9&lt;&gt;"",OR(NOT(ISNUMBER(J9)),J9&lt;=0)),AND(K9&lt;&gt;"",OR(NOT(ISNUMBER(K9)),K9&lt;=0)),NOT(ISNUMBER(Q9)),Q9&lt;=0,AND(R9&lt;&gt;"",OR(NOT(ISNUMBER(R9)),R9&lt;=0)),AND(S9&lt;&gt;"",OR(NOT(ISNUMBER(S9)),S9&lt;=0)),NOT(ISNUMBER(T9)),T9&lt;0,T9&gt;1,NOT(ISNUMBER(AE9)),AE9&lt;0,NOT(ISNUMBER(AF9)),AF9&lt;0,NOT(ISNUMBER(AG9)),AG9&lt;0,AND(AB9&lt;&gt;"",NOT(ISNUMBER(AB9)))),"格式错误",IF(AND(Z9="TRUE",OR(Y9&lt;&gt;"TRUE",M9="UNKNOWN")),"待人工复核","可导入")))))))</f>
        <v/>
      </c>
      <c r="B9" s="125" t="inlineStr">
        <is>
          <t>product-rose-quartz-round-8</t>
        </is>
      </c>
      <c r="C9" s="125" t="inlineStr">
        <is>
          <t>RQ-CNY-8</t>
        </is>
      </c>
      <c r="D9" s="125" t="inlineStr">
        <is>
          <t>crystal-rose-quartz</t>
        </is>
      </c>
      <c r="E9" s="125" t="inlineStr">
        <is>
          <t>粉水晶圆珠 8mm</t>
        </is>
      </c>
      <c r="F9" s="125" t="inlineStr">
        <is>
          <t>ROUND</t>
        </is>
      </c>
      <c r="G9" s="126" t="n">
        <v>8</v>
      </c>
      <c r="H9" s="126" t="n"/>
      <c r="I9" s="126" t="n"/>
      <c r="J9" s="126" t="n"/>
      <c r="K9" s="125" t="n">
        <v>1</v>
      </c>
      <c r="L9" s="127" t="inlineStr">
        <is>
          <t>NONE</t>
        </is>
      </c>
      <c r="M9" s="127" t="inlineStr">
        <is>
          <t>COMMERCIAL_A</t>
        </is>
      </c>
      <c r="N9" s="125" t="inlineStr">
        <is>
          <t>MARKET_DESCRIPTION</t>
        </is>
      </c>
      <c r="O9" s="125" t="inlineStr">
        <is>
          <t>普通市场货，颜色和纹理存在自然差异，以当前批次实拍图为准。</t>
        </is>
      </c>
      <c r="P9" s="125" t="inlineStr">
        <is>
          <t>PER_BEAD</t>
        </is>
      </c>
      <c r="Q9" s="127" t="n">
        <v>1</v>
      </c>
      <c r="R9" s="125" t="n"/>
      <c r="S9" s="125" t="n"/>
      <c r="T9" s="128" t="n">
        <v>0.03</v>
      </c>
      <c r="U9" s="125" t="inlineStr">
        <is>
          <t>crystal-rose-quartz-material-v1</t>
        </is>
      </c>
      <c r="V9" s="125" t="inlineStr">
        <is>
          <t>sphere-round-8mm-v1</t>
        </is>
      </c>
      <c r="W9" s="125" t="inlineStr">
        <is>
          <t>crystal-rose-quartz-texture-v1</t>
        </is>
      </c>
      <c r="X9" s="125" t="inlineStr">
        <is>
          <t>rose-quartz-round-8.png</t>
        </is>
      </c>
      <c r="Y9" s="125" t="inlineStr">
        <is>
          <t>TRUE</t>
        </is>
      </c>
      <c r="Z9" s="125" t="inlineStr">
        <is>
          <t>TRUE</t>
        </is>
      </c>
      <c r="AA9" s="125" t="inlineStr">
        <is>
          <t>TRUE</t>
        </is>
      </c>
      <c r="AB9" s="125" t="n">
        <v>50</v>
      </c>
      <c r="AC9" s="125" t="inlineStr">
        <is>
          <t>示例</t>
        </is>
      </c>
      <c r="AD9" s="125" t="inlineStr">
        <is>
          <t>CNY</t>
        </is>
      </c>
      <c r="AE9" s="127" t="n">
        <v>360</v>
      </c>
      <c r="AF9" s="127" t="n">
        <v>151</v>
      </c>
      <c r="AG9" s="127" t="n">
        <v>100</v>
      </c>
    </row>
    <row r="10">
      <c r="A10" s="118">
        <f>IF(COUNTA(B10:AG10)=0,"待填写",IF(OR(B10="",C10="",D10="",E10="",F10="",AND(G10="",H10="",I10="",J10=""),M10="",N10="",P10="",NOT(ISNUMBER(Q10)),NOT(ISNUMBER(T10)),U10="",X10="",Y10="",Z10="",AA10="",AD10="",NOT(ISNUMBER(AE10)),NOT(ISNUMBER(AF10)),NOT(ISNUMBER(AG10))),"请补全必填",IF(OR(COUNTIF($B$5:$B$104,B10)&gt;1,COUNTIF($C$5:$C$104,C10)&gt;1),"ID重复",IF(COUNTIF('水晶主数据'!$B$5:$B$54,D10)=0,"关联不存在",IF(OR(ISNA(MATCH(F10,'_枚举'!$D$2:$D$7,0)),AND(L10&lt;&gt;"",ISNA(MATCH(L10,'_枚举'!$E$2:$E$6,0))),ISNA(MATCH(M10,'_枚举'!$A$2:$A$4,0)),ISNA(MATCH(N10,'_枚举'!$B$2:$B$5,0)),ISNA(MATCH(P10,'_枚举'!$F$2:$F$5,0)),ISNA(MATCH(Y10,'_枚举'!$C$2:$C$3,0)),ISNA(MATCH(Z10,'_枚举'!$C$2:$C$3,0)),ISNA(MATCH(AA10,'_枚举'!$C$2:$C$3,0)),ISNA(MATCH(AD10,'_枚举'!$G$2:$G$3,0))),"枚举错误",IF(OR(AND(G10&lt;&gt;"",OR(NOT(ISNUMBER(G10)),G10&lt;=0)),AND(H10&lt;&gt;"",OR(NOT(ISNUMBER(H10)),H10&lt;=0)),AND(I10&lt;&gt;"",OR(NOT(ISNUMBER(I10)),I10&lt;=0)),AND(J10&lt;&gt;"",OR(NOT(ISNUMBER(J10)),J10&lt;=0)),AND(K10&lt;&gt;"",OR(NOT(ISNUMBER(K10)),K10&lt;=0)),NOT(ISNUMBER(Q10)),Q10&lt;=0,AND(R10&lt;&gt;"",OR(NOT(ISNUMBER(R10)),R10&lt;=0)),AND(S10&lt;&gt;"",OR(NOT(ISNUMBER(S10)),S10&lt;=0)),NOT(ISNUMBER(T10)),T10&lt;0,T10&gt;1,NOT(ISNUMBER(AE10)),AE10&lt;0,NOT(ISNUMBER(AF10)),AF10&lt;0,NOT(ISNUMBER(AG10)),AG10&lt;0,AND(AB10&lt;&gt;"",NOT(ISNUMBER(AB10)))),"格式错误",IF(AND(Z10="TRUE",OR(Y10&lt;&gt;"TRUE",M10="UNKNOWN")),"待人工复核","可导入")))))))</f>
        <v/>
      </c>
      <c r="B10" s="125" t="n"/>
      <c r="C10" s="125" t="n"/>
      <c r="D10" s="125" t="n"/>
      <c r="E10" s="125" t="n"/>
      <c r="F10" s="125" t="n"/>
      <c r="G10" s="126" t="n"/>
      <c r="H10" s="126" t="n"/>
      <c r="I10" s="126" t="n"/>
      <c r="J10" s="126" t="n"/>
      <c r="K10" s="125" t="n"/>
      <c r="L10" s="127" t="n"/>
      <c r="M10" s="127" t="n"/>
      <c r="N10" s="125" t="n"/>
      <c r="O10" s="125" t="n"/>
      <c r="P10" s="125" t="n"/>
      <c r="Q10" s="127" t="n"/>
      <c r="R10" s="125" t="n"/>
      <c r="S10" s="125" t="n"/>
      <c r="T10" s="128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7" t="n"/>
      <c r="AF10" s="127" t="n"/>
      <c r="AG10" s="127" t="n"/>
    </row>
    <row r="11">
      <c r="A11" s="118">
        <f>IF(COUNTA(B11:AG11)=0,"待填写",IF(OR(B11="",C11="",D11="",E11="",F11="",AND(G11="",H11="",I11="",J11=""),M11="",N11="",P11="",NOT(ISNUMBER(Q11)),NOT(ISNUMBER(T11)),U11="",X11="",Y11="",Z11="",AA11="",AD11="",NOT(ISNUMBER(AE11)),NOT(ISNUMBER(AF11)),NOT(ISNUMBER(AG11))),"请补全必填",IF(OR(COUNTIF($B$5:$B$104,B11)&gt;1,COUNTIF($C$5:$C$104,C11)&gt;1),"ID重复",IF(COUNTIF('水晶主数据'!$B$5:$B$54,D11)=0,"关联不存在",IF(OR(ISNA(MATCH(F11,'_枚举'!$D$2:$D$7,0)),AND(L11&lt;&gt;"",ISNA(MATCH(L11,'_枚举'!$E$2:$E$6,0))),ISNA(MATCH(M11,'_枚举'!$A$2:$A$4,0)),ISNA(MATCH(N11,'_枚举'!$B$2:$B$5,0)),ISNA(MATCH(P11,'_枚举'!$F$2:$F$5,0)),ISNA(MATCH(Y11,'_枚举'!$C$2:$C$3,0)),ISNA(MATCH(Z11,'_枚举'!$C$2:$C$3,0)),ISNA(MATCH(AA11,'_枚举'!$C$2:$C$3,0)),ISNA(MATCH(AD11,'_枚举'!$G$2:$G$3,0))),"枚举错误",IF(OR(AND(G11&lt;&gt;"",OR(NOT(ISNUMBER(G11)),G11&lt;=0)),AND(H11&lt;&gt;"",OR(NOT(ISNUMBER(H11)),H11&lt;=0)),AND(I11&lt;&gt;"",OR(NOT(ISNUMBER(I11)),I11&lt;=0)),AND(J11&lt;&gt;"",OR(NOT(ISNUMBER(J11)),J11&lt;=0)),AND(K11&lt;&gt;"",OR(NOT(ISNUMBER(K11)),K11&lt;=0)),NOT(ISNUMBER(Q11)),Q11&lt;=0,AND(R11&lt;&gt;"",OR(NOT(ISNUMBER(R11)),R11&lt;=0)),AND(S11&lt;&gt;"",OR(NOT(ISNUMBER(S11)),S11&lt;=0)),NOT(ISNUMBER(T11)),T11&lt;0,T11&gt;1,NOT(ISNUMBER(AE11)),AE11&lt;0,NOT(ISNUMBER(AF11)),AF11&lt;0,NOT(ISNUMBER(AG11)),AG11&lt;0,AND(AB11&lt;&gt;"",NOT(ISNUMBER(AB11)))),"格式错误",IF(AND(Z11="TRUE",OR(Y11&lt;&gt;"TRUE",M11="UNKNOWN")),"待人工复核","可导入")))))))</f>
        <v/>
      </c>
      <c r="B11" s="125" t="n"/>
      <c r="C11" s="125" t="n"/>
      <c r="D11" s="125" t="n"/>
      <c r="E11" s="125" t="n"/>
      <c r="F11" s="125" t="n"/>
      <c r="G11" s="126" t="n"/>
      <c r="H11" s="126" t="n"/>
      <c r="I11" s="126" t="n"/>
      <c r="J11" s="126" t="n"/>
      <c r="K11" s="125" t="n"/>
      <c r="L11" s="127" t="n"/>
      <c r="M11" s="127" t="n"/>
      <c r="N11" s="125" t="n"/>
      <c r="O11" s="125" t="n"/>
      <c r="P11" s="125" t="n"/>
      <c r="Q11" s="127" t="n"/>
      <c r="R11" s="125" t="n"/>
      <c r="S11" s="125" t="n"/>
      <c r="T11" s="128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7" t="n"/>
      <c r="AF11" s="127" t="n"/>
      <c r="AG11" s="127" t="n"/>
    </row>
    <row r="12">
      <c r="A12" s="118">
        <f>IF(COUNTA(B12:AG12)=0,"待填写",IF(OR(B12="",C12="",D12="",E12="",F12="",AND(G12="",H12="",I12="",J12=""),M12="",N12="",P12="",NOT(ISNUMBER(Q12)),NOT(ISNUMBER(T12)),U12="",X12="",Y12="",Z12="",AA12="",AD12="",NOT(ISNUMBER(AE12)),NOT(ISNUMBER(AF12)),NOT(ISNUMBER(AG12))),"请补全必填",IF(OR(COUNTIF($B$5:$B$104,B12)&gt;1,COUNTIF($C$5:$C$104,C12)&gt;1),"ID重复",IF(COUNTIF('水晶主数据'!$B$5:$B$54,D12)=0,"关联不存在",IF(OR(ISNA(MATCH(F12,'_枚举'!$D$2:$D$7,0)),AND(L12&lt;&gt;"",ISNA(MATCH(L12,'_枚举'!$E$2:$E$6,0))),ISNA(MATCH(M12,'_枚举'!$A$2:$A$4,0)),ISNA(MATCH(N12,'_枚举'!$B$2:$B$5,0)),ISNA(MATCH(P12,'_枚举'!$F$2:$F$5,0)),ISNA(MATCH(Y12,'_枚举'!$C$2:$C$3,0)),ISNA(MATCH(Z12,'_枚举'!$C$2:$C$3,0)),ISNA(MATCH(AA12,'_枚举'!$C$2:$C$3,0)),ISNA(MATCH(AD12,'_枚举'!$G$2:$G$3,0))),"枚举错误",IF(OR(AND(G12&lt;&gt;"",OR(NOT(ISNUMBER(G12)),G12&lt;=0)),AND(H12&lt;&gt;"",OR(NOT(ISNUMBER(H12)),H12&lt;=0)),AND(I12&lt;&gt;"",OR(NOT(ISNUMBER(I12)),I12&lt;=0)),AND(J12&lt;&gt;"",OR(NOT(ISNUMBER(J12)),J12&lt;=0)),AND(K12&lt;&gt;"",OR(NOT(ISNUMBER(K12)),K12&lt;=0)),NOT(ISNUMBER(Q12)),Q12&lt;=0,AND(R12&lt;&gt;"",OR(NOT(ISNUMBER(R12)),R12&lt;=0)),AND(S12&lt;&gt;"",OR(NOT(ISNUMBER(S12)),S12&lt;=0)),NOT(ISNUMBER(T12)),T12&lt;0,T12&gt;1,NOT(ISNUMBER(AE12)),AE12&lt;0,NOT(ISNUMBER(AF12)),AF12&lt;0,NOT(ISNUMBER(AG12)),AG12&lt;0,AND(AB12&lt;&gt;"",NOT(ISNUMBER(AB12)))),"格式错误",IF(AND(Z12="TRUE",OR(Y12&lt;&gt;"TRUE",M12="UNKNOWN")),"待人工复核","可导入")))))))</f>
        <v/>
      </c>
      <c r="B12" s="125" t="n"/>
      <c r="C12" s="125" t="n"/>
      <c r="D12" s="125" t="n"/>
      <c r="E12" s="125" t="n"/>
      <c r="F12" s="125" t="n"/>
      <c r="G12" s="126" t="n"/>
      <c r="H12" s="126" t="n"/>
      <c r="I12" s="126" t="n"/>
      <c r="J12" s="126" t="n"/>
      <c r="K12" s="125" t="n"/>
      <c r="L12" s="127" t="n"/>
      <c r="M12" s="127" t="n"/>
      <c r="N12" s="125" t="n"/>
      <c r="O12" s="125" t="n"/>
      <c r="P12" s="125" t="n"/>
      <c r="Q12" s="127" t="n"/>
      <c r="R12" s="125" t="n"/>
      <c r="S12" s="125" t="n"/>
      <c r="T12" s="128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7" t="n"/>
      <c r="AF12" s="127" t="n"/>
      <c r="AG12" s="127" t="n"/>
    </row>
    <row r="13">
      <c r="A13" s="118">
        <f>IF(COUNTA(B13:AG13)=0,"待填写",IF(OR(B13="",C13="",D13="",E13="",F13="",AND(G13="",H13="",I13="",J13=""),M13="",N13="",P13="",NOT(ISNUMBER(Q13)),NOT(ISNUMBER(T13)),U13="",X13="",Y13="",Z13="",AA13="",AD13="",NOT(ISNUMBER(AE13)),NOT(ISNUMBER(AF13)),NOT(ISNUMBER(AG13))),"请补全必填",IF(OR(COUNTIF($B$5:$B$104,B13)&gt;1,COUNTIF($C$5:$C$104,C13)&gt;1),"ID重复",IF(COUNTIF('水晶主数据'!$B$5:$B$54,D13)=0,"关联不存在",IF(OR(ISNA(MATCH(F13,'_枚举'!$D$2:$D$7,0)),AND(L13&lt;&gt;"",ISNA(MATCH(L13,'_枚举'!$E$2:$E$6,0))),ISNA(MATCH(M13,'_枚举'!$A$2:$A$4,0)),ISNA(MATCH(N13,'_枚举'!$B$2:$B$5,0)),ISNA(MATCH(P13,'_枚举'!$F$2:$F$5,0)),ISNA(MATCH(Y13,'_枚举'!$C$2:$C$3,0)),ISNA(MATCH(Z13,'_枚举'!$C$2:$C$3,0)),ISNA(MATCH(AA13,'_枚举'!$C$2:$C$3,0)),ISNA(MATCH(AD13,'_枚举'!$G$2:$G$3,0))),"枚举错误",IF(OR(AND(G13&lt;&gt;"",OR(NOT(ISNUMBER(G13)),G13&lt;=0)),AND(H13&lt;&gt;"",OR(NOT(ISNUMBER(H13)),H13&lt;=0)),AND(I13&lt;&gt;"",OR(NOT(ISNUMBER(I13)),I13&lt;=0)),AND(J13&lt;&gt;"",OR(NOT(ISNUMBER(J13)),J13&lt;=0)),AND(K13&lt;&gt;"",OR(NOT(ISNUMBER(K13)),K13&lt;=0)),NOT(ISNUMBER(Q13)),Q13&lt;=0,AND(R13&lt;&gt;"",OR(NOT(ISNUMBER(R13)),R13&lt;=0)),AND(S13&lt;&gt;"",OR(NOT(ISNUMBER(S13)),S13&lt;=0)),NOT(ISNUMBER(T13)),T13&lt;0,T13&gt;1,NOT(ISNUMBER(AE13)),AE13&lt;0,NOT(ISNUMBER(AF13)),AF13&lt;0,NOT(ISNUMBER(AG13)),AG13&lt;0,AND(AB13&lt;&gt;"",NOT(ISNUMBER(AB13)))),"格式错误",IF(AND(Z13="TRUE",OR(Y13&lt;&gt;"TRUE",M13="UNKNOWN")),"待人工复核","可导入")))))))</f>
        <v/>
      </c>
      <c r="B13" s="125" t="n"/>
      <c r="C13" s="125" t="n"/>
      <c r="D13" s="125" t="n"/>
      <c r="E13" s="125" t="n"/>
      <c r="F13" s="125" t="n"/>
      <c r="G13" s="126" t="n"/>
      <c r="H13" s="126" t="n"/>
      <c r="I13" s="126" t="n"/>
      <c r="J13" s="126" t="n"/>
      <c r="K13" s="125" t="n"/>
      <c r="L13" s="127" t="n"/>
      <c r="M13" s="127" t="n"/>
      <c r="N13" s="125" t="n"/>
      <c r="O13" s="125" t="n"/>
      <c r="P13" s="125" t="n"/>
      <c r="Q13" s="127" t="n"/>
      <c r="R13" s="125" t="n"/>
      <c r="S13" s="125" t="n"/>
      <c r="T13" s="128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7" t="n"/>
      <c r="AF13" s="127" t="n"/>
      <c r="AG13" s="127" t="n"/>
    </row>
    <row r="14">
      <c r="A14" s="118">
        <f>IF(COUNTA(B14:AG14)=0,"待填写",IF(OR(B14="",C14="",D14="",E14="",F14="",AND(G14="",H14="",I14="",J14=""),M14="",N14="",P14="",NOT(ISNUMBER(Q14)),NOT(ISNUMBER(T14)),U14="",X14="",Y14="",Z14="",AA14="",AD14="",NOT(ISNUMBER(AE14)),NOT(ISNUMBER(AF14)),NOT(ISNUMBER(AG14))),"请补全必填",IF(OR(COUNTIF($B$5:$B$104,B14)&gt;1,COUNTIF($C$5:$C$104,C14)&gt;1),"ID重复",IF(COUNTIF('水晶主数据'!$B$5:$B$54,D14)=0,"关联不存在",IF(OR(ISNA(MATCH(F14,'_枚举'!$D$2:$D$7,0)),AND(L14&lt;&gt;"",ISNA(MATCH(L14,'_枚举'!$E$2:$E$6,0))),ISNA(MATCH(M14,'_枚举'!$A$2:$A$4,0)),ISNA(MATCH(N14,'_枚举'!$B$2:$B$5,0)),ISNA(MATCH(P14,'_枚举'!$F$2:$F$5,0)),ISNA(MATCH(Y14,'_枚举'!$C$2:$C$3,0)),ISNA(MATCH(Z14,'_枚举'!$C$2:$C$3,0)),ISNA(MATCH(AA14,'_枚举'!$C$2:$C$3,0)),ISNA(MATCH(AD14,'_枚举'!$G$2:$G$3,0))),"枚举错误",IF(OR(AND(G14&lt;&gt;"",OR(NOT(ISNUMBER(G14)),G14&lt;=0)),AND(H14&lt;&gt;"",OR(NOT(ISNUMBER(H14)),H14&lt;=0)),AND(I14&lt;&gt;"",OR(NOT(ISNUMBER(I14)),I14&lt;=0)),AND(J14&lt;&gt;"",OR(NOT(ISNUMBER(J14)),J14&lt;=0)),AND(K14&lt;&gt;"",OR(NOT(ISNUMBER(K14)),K14&lt;=0)),NOT(ISNUMBER(Q14)),Q14&lt;=0,AND(R14&lt;&gt;"",OR(NOT(ISNUMBER(R14)),R14&lt;=0)),AND(S14&lt;&gt;"",OR(NOT(ISNUMBER(S14)),S14&lt;=0)),NOT(ISNUMBER(T14)),T14&lt;0,T14&gt;1,NOT(ISNUMBER(AE14)),AE14&lt;0,NOT(ISNUMBER(AF14)),AF14&lt;0,NOT(ISNUMBER(AG14)),AG14&lt;0,AND(AB14&lt;&gt;"",NOT(ISNUMBER(AB14)))),"格式错误",IF(AND(Z14="TRUE",OR(Y14&lt;&gt;"TRUE",M14="UNKNOWN")),"待人工复核","可导入")))))))</f>
        <v/>
      </c>
      <c r="B14" s="125" t="n"/>
      <c r="C14" s="125" t="n"/>
      <c r="D14" s="125" t="n"/>
      <c r="E14" s="125" t="n"/>
      <c r="F14" s="125" t="n"/>
      <c r="G14" s="126" t="n"/>
      <c r="H14" s="126" t="n"/>
      <c r="I14" s="126" t="n"/>
      <c r="J14" s="126" t="n"/>
      <c r="K14" s="125" t="n"/>
      <c r="L14" s="127" t="n"/>
      <c r="M14" s="127" t="n"/>
      <c r="N14" s="125" t="n"/>
      <c r="O14" s="125" t="n"/>
      <c r="P14" s="125" t="n"/>
      <c r="Q14" s="127" t="n"/>
      <c r="R14" s="125" t="n"/>
      <c r="S14" s="125" t="n"/>
      <c r="T14" s="128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7" t="n"/>
      <c r="AF14" s="127" t="n"/>
      <c r="AG14" s="127" t="n"/>
    </row>
    <row r="15">
      <c r="A15" s="118">
        <f>IF(COUNTA(B15:AG15)=0,"待填写",IF(OR(B15="",C15="",D15="",E15="",F15="",AND(G15="",H15="",I15="",J15=""),M15="",N15="",P15="",NOT(ISNUMBER(Q15)),NOT(ISNUMBER(T15)),U15="",X15="",Y15="",Z15="",AA15="",AD15="",NOT(ISNUMBER(AE15)),NOT(ISNUMBER(AF15)),NOT(ISNUMBER(AG15))),"请补全必填",IF(OR(COUNTIF($B$5:$B$104,B15)&gt;1,COUNTIF($C$5:$C$104,C15)&gt;1),"ID重复",IF(COUNTIF('水晶主数据'!$B$5:$B$54,D15)=0,"关联不存在",IF(OR(ISNA(MATCH(F15,'_枚举'!$D$2:$D$7,0)),AND(L15&lt;&gt;"",ISNA(MATCH(L15,'_枚举'!$E$2:$E$6,0))),ISNA(MATCH(M15,'_枚举'!$A$2:$A$4,0)),ISNA(MATCH(N15,'_枚举'!$B$2:$B$5,0)),ISNA(MATCH(P15,'_枚举'!$F$2:$F$5,0)),ISNA(MATCH(Y15,'_枚举'!$C$2:$C$3,0)),ISNA(MATCH(Z15,'_枚举'!$C$2:$C$3,0)),ISNA(MATCH(AA15,'_枚举'!$C$2:$C$3,0)),ISNA(MATCH(AD15,'_枚举'!$G$2:$G$3,0))),"枚举错误",IF(OR(AND(G15&lt;&gt;"",OR(NOT(ISNUMBER(G15)),G15&lt;=0)),AND(H15&lt;&gt;"",OR(NOT(ISNUMBER(H15)),H15&lt;=0)),AND(I15&lt;&gt;"",OR(NOT(ISNUMBER(I15)),I15&lt;=0)),AND(J15&lt;&gt;"",OR(NOT(ISNUMBER(J15)),J15&lt;=0)),AND(K15&lt;&gt;"",OR(NOT(ISNUMBER(K15)),K15&lt;=0)),NOT(ISNUMBER(Q15)),Q15&lt;=0,AND(R15&lt;&gt;"",OR(NOT(ISNUMBER(R15)),R15&lt;=0)),AND(S15&lt;&gt;"",OR(NOT(ISNUMBER(S15)),S15&lt;=0)),NOT(ISNUMBER(T15)),T15&lt;0,T15&gt;1,NOT(ISNUMBER(AE15)),AE15&lt;0,NOT(ISNUMBER(AF15)),AF15&lt;0,NOT(ISNUMBER(AG15)),AG15&lt;0,AND(AB15&lt;&gt;"",NOT(ISNUMBER(AB15)))),"格式错误",IF(AND(Z15="TRUE",OR(Y15&lt;&gt;"TRUE",M15="UNKNOWN")),"待人工复核","可导入")))))))</f>
        <v/>
      </c>
      <c r="B15" s="125" t="n"/>
      <c r="C15" s="125" t="n"/>
      <c r="D15" s="125" t="n"/>
      <c r="E15" s="125" t="n"/>
      <c r="F15" s="125" t="n"/>
      <c r="G15" s="126" t="n"/>
      <c r="H15" s="126" t="n"/>
      <c r="I15" s="126" t="n"/>
      <c r="J15" s="126" t="n"/>
      <c r="K15" s="125" t="n"/>
      <c r="L15" s="127" t="n"/>
      <c r="M15" s="127" t="n"/>
      <c r="N15" s="125" t="n"/>
      <c r="O15" s="125" t="n"/>
      <c r="P15" s="125" t="n"/>
      <c r="Q15" s="127" t="n"/>
      <c r="R15" s="125" t="n"/>
      <c r="S15" s="125" t="n"/>
      <c r="T15" s="128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7" t="n"/>
      <c r="AF15" s="127" t="n"/>
      <c r="AG15" s="127" t="n"/>
    </row>
    <row r="16">
      <c r="A16" s="118">
        <f>IF(COUNTA(B16:AG16)=0,"待填写",IF(OR(B16="",C16="",D16="",E16="",F16="",AND(G16="",H16="",I16="",J16=""),M16="",N16="",P16="",NOT(ISNUMBER(Q16)),NOT(ISNUMBER(T16)),U16="",X16="",Y16="",Z16="",AA16="",AD16="",NOT(ISNUMBER(AE16)),NOT(ISNUMBER(AF16)),NOT(ISNUMBER(AG16))),"请补全必填",IF(OR(COUNTIF($B$5:$B$104,B16)&gt;1,COUNTIF($C$5:$C$104,C16)&gt;1),"ID重复",IF(COUNTIF('水晶主数据'!$B$5:$B$54,D16)=0,"关联不存在",IF(OR(ISNA(MATCH(F16,'_枚举'!$D$2:$D$7,0)),AND(L16&lt;&gt;"",ISNA(MATCH(L16,'_枚举'!$E$2:$E$6,0))),ISNA(MATCH(M16,'_枚举'!$A$2:$A$4,0)),ISNA(MATCH(N16,'_枚举'!$B$2:$B$5,0)),ISNA(MATCH(P16,'_枚举'!$F$2:$F$5,0)),ISNA(MATCH(Y16,'_枚举'!$C$2:$C$3,0)),ISNA(MATCH(Z16,'_枚举'!$C$2:$C$3,0)),ISNA(MATCH(AA16,'_枚举'!$C$2:$C$3,0)),ISNA(MATCH(AD16,'_枚举'!$G$2:$G$3,0))),"枚举错误",IF(OR(AND(G16&lt;&gt;"",OR(NOT(ISNUMBER(G16)),G16&lt;=0)),AND(H16&lt;&gt;"",OR(NOT(ISNUMBER(H16)),H16&lt;=0)),AND(I16&lt;&gt;"",OR(NOT(ISNUMBER(I16)),I16&lt;=0)),AND(J16&lt;&gt;"",OR(NOT(ISNUMBER(J16)),J16&lt;=0)),AND(K16&lt;&gt;"",OR(NOT(ISNUMBER(K16)),K16&lt;=0)),NOT(ISNUMBER(Q16)),Q16&lt;=0,AND(R16&lt;&gt;"",OR(NOT(ISNUMBER(R16)),R16&lt;=0)),AND(S16&lt;&gt;"",OR(NOT(ISNUMBER(S16)),S16&lt;=0)),NOT(ISNUMBER(T16)),T16&lt;0,T16&gt;1,NOT(ISNUMBER(AE16)),AE16&lt;0,NOT(ISNUMBER(AF16)),AF16&lt;0,NOT(ISNUMBER(AG16)),AG16&lt;0,AND(AB16&lt;&gt;"",NOT(ISNUMBER(AB16)))),"格式错误",IF(AND(Z16="TRUE",OR(Y16&lt;&gt;"TRUE",M16="UNKNOWN")),"待人工复核","可导入")))))))</f>
        <v/>
      </c>
      <c r="B16" s="125" t="n"/>
      <c r="C16" s="125" t="n"/>
      <c r="D16" s="125" t="n"/>
      <c r="E16" s="125" t="n"/>
      <c r="F16" s="125" t="n"/>
      <c r="G16" s="126" t="n"/>
      <c r="H16" s="126" t="n"/>
      <c r="I16" s="126" t="n"/>
      <c r="J16" s="126" t="n"/>
      <c r="K16" s="125" t="n"/>
      <c r="L16" s="127" t="n"/>
      <c r="M16" s="127" t="n"/>
      <c r="N16" s="125" t="n"/>
      <c r="O16" s="125" t="n"/>
      <c r="P16" s="125" t="n"/>
      <c r="Q16" s="127" t="n"/>
      <c r="R16" s="125" t="n"/>
      <c r="S16" s="125" t="n"/>
      <c r="T16" s="128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7" t="n"/>
      <c r="AF16" s="127" t="n"/>
      <c r="AG16" s="127" t="n"/>
    </row>
    <row r="17">
      <c r="A17" s="118">
        <f>IF(COUNTA(B17:AG17)=0,"待填写",IF(OR(B17="",C17="",D17="",E17="",F17="",AND(G17="",H17="",I17="",J17=""),M17="",N17="",P17="",NOT(ISNUMBER(Q17)),NOT(ISNUMBER(T17)),U17="",X17="",Y17="",Z17="",AA17="",AD17="",NOT(ISNUMBER(AE17)),NOT(ISNUMBER(AF17)),NOT(ISNUMBER(AG17))),"请补全必填",IF(OR(COUNTIF($B$5:$B$104,B17)&gt;1,COUNTIF($C$5:$C$104,C17)&gt;1),"ID重复",IF(COUNTIF('水晶主数据'!$B$5:$B$54,D17)=0,"关联不存在",IF(OR(ISNA(MATCH(F17,'_枚举'!$D$2:$D$7,0)),AND(L17&lt;&gt;"",ISNA(MATCH(L17,'_枚举'!$E$2:$E$6,0))),ISNA(MATCH(M17,'_枚举'!$A$2:$A$4,0)),ISNA(MATCH(N17,'_枚举'!$B$2:$B$5,0)),ISNA(MATCH(P17,'_枚举'!$F$2:$F$5,0)),ISNA(MATCH(Y17,'_枚举'!$C$2:$C$3,0)),ISNA(MATCH(Z17,'_枚举'!$C$2:$C$3,0)),ISNA(MATCH(AA17,'_枚举'!$C$2:$C$3,0)),ISNA(MATCH(AD17,'_枚举'!$G$2:$G$3,0))),"枚举错误",IF(OR(AND(G17&lt;&gt;"",OR(NOT(ISNUMBER(G17)),G17&lt;=0)),AND(H17&lt;&gt;"",OR(NOT(ISNUMBER(H17)),H17&lt;=0)),AND(I17&lt;&gt;"",OR(NOT(ISNUMBER(I17)),I17&lt;=0)),AND(J17&lt;&gt;"",OR(NOT(ISNUMBER(J17)),J17&lt;=0)),AND(K17&lt;&gt;"",OR(NOT(ISNUMBER(K17)),K17&lt;=0)),NOT(ISNUMBER(Q17)),Q17&lt;=0,AND(R17&lt;&gt;"",OR(NOT(ISNUMBER(R17)),R17&lt;=0)),AND(S17&lt;&gt;"",OR(NOT(ISNUMBER(S17)),S17&lt;=0)),NOT(ISNUMBER(T17)),T17&lt;0,T17&gt;1,NOT(ISNUMBER(AE17)),AE17&lt;0,NOT(ISNUMBER(AF17)),AF17&lt;0,NOT(ISNUMBER(AG17)),AG17&lt;0,AND(AB17&lt;&gt;"",NOT(ISNUMBER(AB17)))),"格式错误",IF(AND(Z17="TRUE",OR(Y17&lt;&gt;"TRUE",M17="UNKNOWN")),"待人工复核","可导入")))))))</f>
        <v/>
      </c>
      <c r="B17" s="125" t="n"/>
      <c r="C17" s="125" t="n"/>
      <c r="D17" s="125" t="n"/>
      <c r="E17" s="125" t="n"/>
      <c r="F17" s="125" t="n"/>
      <c r="G17" s="126" t="n"/>
      <c r="H17" s="126" t="n"/>
      <c r="I17" s="126" t="n"/>
      <c r="J17" s="126" t="n"/>
      <c r="K17" s="125" t="n"/>
      <c r="L17" s="127" t="n"/>
      <c r="M17" s="127" t="n"/>
      <c r="N17" s="125" t="n"/>
      <c r="O17" s="125" t="n"/>
      <c r="P17" s="125" t="n"/>
      <c r="Q17" s="127" t="n"/>
      <c r="R17" s="125" t="n"/>
      <c r="S17" s="125" t="n"/>
      <c r="T17" s="128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7" t="n"/>
      <c r="AF17" s="127" t="n"/>
      <c r="AG17" s="127" t="n"/>
    </row>
    <row r="18">
      <c r="A18" s="118">
        <f>IF(COUNTA(B18:AG18)=0,"待填写",IF(OR(B18="",C18="",D18="",E18="",F18="",AND(G18="",H18="",I18="",J18=""),M18="",N18="",P18="",NOT(ISNUMBER(Q18)),NOT(ISNUMBER(T18)),U18="",X18="",Y18="",Z18="",AA18="",AD18="",NOT(ISNUMBER(AE18)),NOT(ISNUMBER(AF18)),NOT(ISNUMBER(AG18))),"请补全必填",IF(OR(COUNTIF($B$5:$B$104,B18)&gt;1,COUNTIF($C$5:$C$104,C18)&gt;1),"ID重复",IF(COUNTIF('水晶主数据'!$B$5:$B$54,D18)=0,"关联不存在",IF(OR(ISNA(MATCH(F18,'_枚举'!$D$2:$D$7,0)),AND(L18&lt;&gt;"",ISNA(MATCH(L18,'_枚举'!$E$2:$E$6,0))),ISNA(MATCH(M18,'_枚举'!$A$2:$A$4,0)),ISNA(MATCH(N18,'_枚举'!$B$2:$B$5,0)),ISNA(MATCH(P18,'_枚举'!$F$2:$F$5,0)),ISNA(MATCH(Y18,'_枚举'!$C$2:$C$3,0)),ISNA(MATCH(Z18,'_枚举'!$C$2:$C$3,0)),ISNA(MATCH(AA18,'_枚举'!$C$2:$C$3,0)),ISNA(MATCH(AD18,'_枚举'!$G$2:$G$3,0))),"枚举错误",IF(OR(AND(G18&lt;&gt;"",OR(NOT(ISNUMBER(G18)),G18&lt;=0)),AND(H18&lt;&gt;"",OR(NOT(ISNUMBER(H18)),H18&lt;=0)),AND(I18&lt;&gt;"",OR(NOT(ISNUMBER(I18)),I18&lt;=0)),AND(J18&lt;&gt;"",OR(NOT(ISNUMBER(J18)),J18&lt;=0)),AND(K18&lt;&gt;"",OR(NOT(ISNUMBER(K18)),K18&lt;=0)),NOT(ISNUMBER(Q18)),Q18&lt;=0,AND(R18&lt;&gt;"",OR(NOT(ISNUMBER(R18)),R18&lt;=0)),AND(S18&lt;&gt;"",OR(NOT(ISNUMBER(S18)),S18&lt;=0)),NOT(ISNUMBER(T18)),T18&lt;0,T18&gt;1,NOT(ISNUMBER(AE18)),AE18&lt;0,NOT(ISNUMBER(AF18)),AF18&lt;0,NOT(ISNUMBER(AG18)),AG18&lt;0,AND(AB18&lt;&gt;"",NOT(ISNUMBER(AB18)))),"格式错误",IF(AND(Z18="TRUE",OR(Y18&lt;&gt;"TRUE",M18="UNKNOWN")),"待人工复核","可导入")))))))</f>
        <v/>
      </c>
      <c r="B18" s="125" t="n"/>
      <c r="C18" s="125" t="n"/>
      <c r="D18" s="125" t="n"/>
      <c r="E18" s="125" t="n"/>
      <c r="F18" s="125" t="n"/>
      <c r="G18" s="126" t="n"/>
      <c r="H18" s="126" t="n"/>
      <c r="I18" s="126" t="n"/>
      <c r="J18" s="126" t="n"/>
      <c r="K18" s="125" t="n"/>
      <c r="L18" s="127" t="n"/>
      <c r="M18" s="127" t="n"/>
      <c r="N18" s="125" t="n"/>
      <c r="O18" s="125" t="n"/>
      <c r="P18" s="125" t="n"/>
      <c r="Q18" s="127" t="n"/>
      <c r="R18" s="125" t="n"/>
      <c r="S18" s="125" t="n"/>
      <c r="T18" s="128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7" t="n"/>
      <c r="AF18" s="127" t="n"/>
      <c r="AG18" s="127" t="n"/>
    </row>
    <row r="19">
      <c r="A19" s="118">
        <f>IF(COUNTA(B19:AG19)=0,"待填写",IF(OR(B19="",C19="",D19="",E19="",F19="",AND(G19="",H19="",I19="",J19=""),M19="",N19="",P19="",NOT(ISNUMBER(Q19)),NOT(ISNUMBER(T19)),U19="",X19="",Y19="",Z19="",AA19="",AD19="",NOT(ISNUMBER(AE19)),NOT(ISNUMBER(AF19)),NOT(ISNUMBER(AG19))),"请补全必填",IF(OR(COUNTIF($B$5:$B$104,B19)&gt;1,COUNTIF($C$5:$C$104,C19)&gt;1),"ID重复",IF(COUNTIF('水晶主数据'!$B$5:$B$54,D19)=0,"关联不存在",IF(OR(ISNA(MATCH(F19,'_枚举'!$D$2:$D$7,0)),AND(L19&lt;&gt;"",ISNA(MATCH(L19,'_枚举'!$E$2:$E$6,0))),ISNA(MATCH(M19,'_枚举'!$A$2:$A$4,0)),ISNA(MATCH(N19,'_枚举'!$B$2:$B$5,0)),ISNA(MATCH(P19,'_枚举'!$F$2:$F$5,0)),ISNA(MATCH(Y19,'_枚举'!$C$2:$C$3,0)),ISNA(MATCH(Z19,'_枚举'!$C$2:$C$3,0)),ISNA(MATCH(AA19,'_枚举'!$C$2:$C$3,0)),ISNA(MATCH(AD19,'_枚举'!$G$2:$G$3,0))),"枚举错误",IF(OR(AND(G19&lt;&gt;"",OR(NOT(ISNUMBER(G19)),G19&lt;=0)),AND(H19&lt;&gt;"",OR(NOT(ISNUMBER(H19)),H19&lt;=0)),AND(I19&lt;&gt;"",OR(NOT(ISNUMBER(I19)),I19&lt;=0)),AND(J19&lt;&gt;"",OR(NOT(ISNUMBER(J19)),J19&lt;=0)),AND(K19&lt;&gt;"",OR(NOT(ISNUMBER(K19)),K19&lt;=0)),NOT(ISNUMBER(Q19)),Q19&lt;=0,AND(R19&lt;&gt;"",OR(NOT(ISNUMBER(R19)),R19&lt;=0)),AND(S19&lt;&gt;"",OR(NOT(ISNUMBER(S19)),S19&lt;=0)),NOT(ISNUMBER(T19)),T19&lt;0,T19&gt;1,NOT(ISNUMBER(AE19)),AE19&lt;0,NOT(ISNUMBER(AF19)),AF19&lt;0,NOT(ISNUMBER(AG19)),AG19&lt;0,AND(AB19&lt;&gt;"",NOT(ISNUMBER(AB19)))),"格式错误",IF(AND(Z19="TRUE",OR(Y19&lt;&gt;"TRUE",M19="UNKNOWN")),"待人工复核","可导入")))))))</f>
        <v/>
      </c>
      <c r="B19" s="125" t="n"/>
      <c r="C19" s="125" t="n"/>
      <c r="D19" s="125" t="n"/>
      <c r="E19" s="125" t="n"/>
      <c r="F19" s="125" t="n"/>
      <c r="G19" s="126" t="n"/>
      <c r="H19" s="126" t="n"/>
      <c r="I19" s="126" t="n"/>
      <c r="J19" s="126" t="n"/>
      <c r="K19" s="125" t="n"/>
      <c r="L19" s="127" t="n"/>
      <c r="M19" s="127" t="n"/>
      <c r="N19" s="125" t="n"/>
      <c r="O19" s="125" t="n"/>
      <c r="P19" s="125" t="n"/>
      <c r="Q19" s="127" t="n"/>
      <c r="R19" s="125" t="n"/>
      <c r="S19" s="125" t="n"/>
      <c r="T19" s="128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7" t="n"/>
      <c r="AF19" s="127" t="n"/>
      <c r="AG19" s="127" t="n"/>
    </row>
    <row r="20">
      <c r="A20" s="118">
        <f>IF(COUNTA(B20:AG20)=0,"待填写",IF(OR(B20="",C20="",D20="",E20="",F20="",AND(G20="",H20="",I20="",J20=""),M20="",N20="",P20="",NOT(ISNUMBER(Q20)),NOT(ISNUMBER(T20)),U20="",X20="",Y20="",Z20="",AA20="",AD20="",NOT(ISNUMBER(AE20)),NOT(ISNUMBER(AF20)),NOT(ISNUMBER(AG20))),"请补全必填",IF(OR(COUNTIF($B$5:$B$104,B20)&gt;1,COUNTIF($C$5:$C$104,C20)&gt;1),"ID重复",IF(COUNTIF('水晶主数据'!$B$5:$B$54,D20)=0,"关联不存在",IF(OR(ISNA(MATCH(F20,'_枚举'!$D$2:$D$7,0)),AND(L20&lt;&gt;"",ISNA(MATCH(L20,'_枚举'!$E$2:$E$6,0))),ISNA(MATCH(M20,'_枚举'!$A$2:$A$4,0)),ISNA(MATCH(N20,'_枚举'!$B$2:$B$5,0)),ISNA(MATCH(P20,'_枚举'!$F$2:$F$5,0)),ISNA(MATCH(Y20,'_枚举'!$C$2:$C$3,0)),ISNA(MATCH(Z20,'_枚举'!$C$2:$C$3,0)),ISNA(MATCH(AA20,'_枚举'!$C$2:$C$3,0)),ISNA(MATCH(AD20,'_枚举'!$G$2:$G$3,0))),"枚举错误",IF(OR(AND(G20&lt;&gt;"",OR(NOT(ISNUMBER(G20)),G20&lt;=0)),AND(H20&lt;&gt;"",OR(NOT(ISNUMBER(H20)),H20&lt;=0)),AND(I20&lt;&gt;"",OR(NOT(ISNUMBER(I20)),I20&lt;=0)),AND(J20&lt;&gt;"",OR(NOT(ISNUMBER(J20)),J20&lt;=0)),AND(K20&lt;&gt;"",OR(NOT(ISNUMBER(K20)),K20&lt;=0)),NOT(ISNUMBER(Q20)),Q20&lt;=0,AND(R20&lt;&gt;"",OR(NOT(ISNUMBER(R20)),R20&lt;=0)),AND(S20&lt;&gt;"",OR(NOT(ISNUMBER(S20)),S20&lt;=0)),NOT(ISNUMBER(T20)),T20&lt;0,T20&gt;1,NOT(ISNUMBER(AE20)),AE20&lt;0,NOT(ISNUMBER(AF20)),AF20&lt;0,NOT(ISNUMBER(AG20)),AG20&lt;0,AND(AB20&lt;&gt;"",NOT(ISNUMBER(AB20)))),"格式错误",IF(AND(Z20="TRUE",OR(Y20&lt;&gt;"TRUE",M20="UNKNOWN")),"待人工复核","可导入")))))))</f>
        <v/>
      </c>
      <c r="B20" s="125" t="n"/>
      <c r="C20" s="125" t="n"/>
      <c r="D20" s="125" t="n"/>
      <c r="E20" s="125" t="n"/>
      <c r="F20" s="125" t="n"/>
      <c r="G20" s="126" t="n"/>
      <c r="H20" s="126" t="n"/>
      <c r="I20" s="126" t="n"/>
      <c r="J20" s="126" t="n"/>
      <c r="K20" s="125" t="n"/>
      <c r="L20" s="127" t="n"/>
      <c r="M20" s="127" t="n"/>
      <c r="N20" s="125" t="n"/>
      <c r="O20" s="125" t="n"/>
      <c r="P20" s="125" t="n"/>
      <c r="Q20" s="127" t="n"/>
      <c r="R20" s="125" t="n"/>
      <c r="S20" s="125" t="n"/>
      <c r="T20" s="128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7" t="n"/>
      <c r="AF20" s="127" t="n"/>
      <c r="AG20" s="127" t="n"/>
    </row>
    <row r="21">
      <c r="A21" s="118">
        <f>IF(COUNTA(B21:AG21)=0,"待填写",IF(OR(B21="",C21="",D21="",E21="",F21="",AND(G21="",H21="",I21="",J21=""),M21="",N21="",P21="",NOT(ISNUMBER(Q21)),NOT(ISNUMBER(T21)),U21="",X21="",Y21="",Z21="",AA21="",AD21="",NOT(ISNUMBER(AE21)),NOT(ISNUMBER(AF21)),NOT(ISNUMBER(AG21))),"请补全必填",IF(OR(COUNTIF($B$5:$B$104,B21)&gt;1,COUNTIF($C$5:$C$104,C21)&gt;1),"ID重复",IF(COUNTIF('水晶主数据'!$B$5:$B$54,D21)=0,"关联不存在",IF(OR(ISNA(MATCH(F21,'_枚举'!$D$2:$D$7,0)),AND(L21&lt;&gt;"",ISNA(MATCH(L21,'_枚举'!$E$2:$E$6,0))),ISNA(MATCH(M21,'_枚举'!$A$2:$A$4,0)),ISNA(MATCH(N21,'_枚举'!$B$2:$B$5,0)),ISNA(MATCH(P21,'_枚举'!$F$2:$F$5,0)),ISNA(MATCH(Y21,'_枚举'!$C$2:$C$3,0)),ISNA(MATCH(Z21,'_枚举'!$C$2:$C$3,0)),ISNA(MATCH(AA21,'_枚举'!$C$2:$C$3,0)),ISNA(MATCH(AD21,'_枚举'!$G$2:$G$3,0))),"枚举错误",IF(OR(AND(G21&lt;&gt;"",OR(NOT(ISNUMBER(G21)),G21&lt;=0)),AND(H21&lt;&gt;"",OR(NOT(ISNUMBER(H21)),H21&lt;=0)),AND(I21&lt;&gt;"",OR(NOT(ISNUMBER(I21)),I21&lt;=0)),AND(J21&lt;&gt;"",OR(NOT(ISNUMBER(J21)),J21&lt;=0)),AND(K21&lt;&gt;"",OR(NOT(ISNUMBER(K21)),K21&lt;=0)),NOT(ISNUMBER(Q21)),Q21&lt;=0,AND(R21&lt;&gt;"",OR(NOT(ISNUMBER(R21)),R21&lt;=0)),AND(S21&lt;&gt;"",OR(NOT(ISNUMBER(S21)),S21&lt;=0)),NOT(ISNUMBER(T21)),T21&lt;0,T21&gt;1,NOT(ISNUMBER(AE21)),AE21&lt;0,NOT(ISNUMBER(AF21)),AF21&lt;0,NOT(ISNUMBER(AG21)),AG21&lt;0,AND(AB21&lt;&gt;"",NOT(ISNUMBER(AB21)))),"格式错误",IF(AND(Z21="TRUE",OR(Y21&lt;&gt;"TRUE",M21="UNKNOWN")),"待人工复核","可导入")))))))</f>
        <v/>
      </c>
      <c r="B21" s="125" t="n"/>
      <c r="C21" s="125" t="n"/>
      <c r="D21" s="125" t="n"/>
      <c r="E21" s="125" t="n"/>
      <c r="F21" s="125" t="n"/>
      <c r="G21" s="126" t="n"/>
      <c r="H21" s="126" t="n"/>
      <c r="I21" s="126" t="n"/>
      <c r="J21" s="126" t="n"/>
      <c r="K21" s="125" t="n"/>
      <c r="L21" s="127" t="n"/>
      <c r="M21" s="127" t="n"/>
      <c r="N21" s="125" t="n"/>
      <c r="O21" s="125" t="n"/>
      <c r="P21" s="125" t="n"/>
      <c r="Q21" s="127" t="n"/>
      <c r="R21" s="125" t="n"/>
      <c r="S21" s="125" t="n"/>
      <c r="T21" s="128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7" t="n"/>
      <c r="AF21" s="127" t="n"/>
      <c r="AG21" s="127" t="n"/>
    </row>
    <row r="22">
      <c r="A22" s="118">
        <f>IF(COUNTA(B22:AG22)=0,"待填写",IF(OR(B22="",C22="",D22="",E22="",F22="",AND(G22="",H22="",I22="",J22=""),M22="",N22="",P22="",NOT(ISNUMBER(Q22)),NOT(ISNUMBER(T22)),U22="",X22="",Y22="",Z22="",AA22="",AD22="",NOT(ISNUMBER(AE22)),NOT(ISNUMBER(AF22)),NOT(ISNUMBER(AG22))),"请补全必填",IF(OR(COUNTIF($B$5:$B$104,B22)&gt;1,COUNTIF($C$5:$C$104,C22)&gt;1),"ID重复",IF(COUNTIF('水晶主数据'!$B$5:$B$54,D22)=0,"关联不存在",IF(OR(ISNA(MATCH(F22,'_枚举'!$D$2:$D$7,0)),AND(L22&lt;&gt;"",ISNA(MATCH(L22,'_枚举'!$E$2:$E$6,0))),ISNA(MATCH(M22,'_枚举'!$A$2:$A$4,0)),ISNA(MATCH(N22,'_枚举'!$B$2:$B$5,0)),ISNA(MATCH(P22,'_枚举'!$F$2:$F$5,0)),ISNA(MATCH(Y22,'_枚举'!$C$2:$C$3,0)),ISNA(MATCH(Z22,'_枚举'!$C$2:$C$3,0)),ISNA(MATCH(AA22,'_枚举'!$C$2:$C$3,0)),ISNA(MATCH(AD22,'_枚举'!$G$2:$G$3,0))),"枚举错误",IF(OR(AND(G22&lt;&gt;"",OR(NOT(ISNUMBER(G22)),G22&lt;=0)),AND(H22&lt;&gt;"",OR(NOT(ISNUMBER(H22)),H22&lt;=0)),AND(I22&lt;&gt;"",OR(NOT(ISNUMBER(I22)),I22&lt;=0)),AND(J22&lt;&gt;"",OR(NOT(ISNUMBER(J22)),J22&lt;=0)),AND(K22&lt;&gt;"",OR(NOT(ISNUMBER(K22)),K22&lt;=0)),NOT(ISNUMBER(Q22)),Q22&lt;=0,AND(R22&lt;&gt;"",OR(NOT(ISNUMBER(R22)),R22&lt;=0)),AND(S22&lt;&gt;"",OR(NOT(ISNUMBER(S22)),S22&lt;=0)),NOT(ISNUMBER(T22)),T22&lt;0,T22&gt;1,NOT(ISNUMBER(AE22)),AE22&lt;0,NOT(ISNUMBER(AF22)),AF22&lt;0,NOT(ISNUMBER(AG22)),AG22&lt;0,AND(AB22&lt;&gt;"",NOT(ISNUMBER(AB22)))),"格式错误",IF(AND(Z22="TRUE",OR(Y22&lt;&gt;"TRUE",M22="UNKNOWN")),"待人工复核","可导入")))))))</f>
        <v/>
      </c>
      <c r="B22" s="125" t="n"/>
      <c r="C22" s="125" t="n"/>
      <c r="D22" s="125" t="n"/>
      <c r="E22" s="125" t="n"/>
      <c r="F22" s="125" t="n"/>
      <c r="G22" s="126" t="n"/>
      <c r="H22" s="126" t="n"/>
      <c r="I22" s="126" t="n"/>
      <c r="J22" s="126" t="n"/>
      <c r="K22" s="125" t="n"/>
      <c r="L22" s="127" t="n"/>
      <c r="M22" s="127" t="n"/>
      <c r="N22" s="125" t="n"/>
      <c r="O22" s="125" t="n"/>
      <c r="P22" s="125" t="n"/>
      <c r="Q22" s="127" t="n"/>
      <c r="R22" s="125" t="n"/>
      <c r="S22" s="125" t="n"/>
      <c r="T22" s="128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7" t="n"/>
      <c r="AF22" s="127" t="n"/>
      <c r="AG22" s="127" t="n"/>
    </row>
    <row r="23">
      <c r="A23" s="118">
        <f>IF(COUNTA(B23:AG23)=0,"待填写",IF(OR(B23="",C23="",D23="",E23="",F23="",AND(G23="",H23="",I23="",J23=""),M23="",N23="",P23="",NOT(ISNUMBER(Q23)),NOT(ISNUMBER(T23)),U23="",X23="",Y23="",Z23="",AA23="",AD23="",NOT(ISNUMBER(AE23)),NOT(ISNUMBER(AF23)),NOT(ISNUMBER(AG23))),"请补全必填",IF(OR(COUNTIF($B$5:$B$104,B23)&gt;1,COUNTIF($C$5:$C$104,C23)&gt;1),"ID重复",IF(COUNTIF('水晶主数据'!$B$5:$B$54,D23)=0,"关联不存在",IF(OR(ISNA(MATCH(F23,'_枚举'!$D$2:$D$7,0)),AND(L23&lt;&gt;"",ISNA(MATCH(L23,'_枚举'!$E$2:$E$6,0))),ISNA(MATCH(M23,'_枚举'!$A$2:$A$4,0)),ISNA(MATCH(N23,'_枚举'!$B$2:$B$5,0)),ISNA(MATCH(P23,'_枚举'!$F$2:$F$5,0)),ISNA(MATCH(Y23,'_枚举'!$C$2:$C$3,0)),ISNA(MATCH(Z23,'_枚举'!$C$2:$C$3,0)),ISNA(MATCH(AA23,'_枚举'!$C$2:$C$3,0)),ISNA(MATCH(AD23,'_枚举'!$G$2:$G$3,0))),"枚举错误",IF(OR(AND(G23&lt;&gt;"",OR(NOT(ISNUMBER(G23)),G23&lt;=0)),AND(H23&lt;&gt;"",OR(NOT(ISNUMBER(H23)),H23&lt;=0)),AND(I23&lt;&gt;"",OR(NOT(ISNUMBER(I23)),I23&lt;=0)),AND(J23&lt;&gt;"",OR(NOT(ISNUMBER(J23)),J23&lt;=0)),AND(K23&lt;&gt;"",OR(NOT(ISNUMBER(K23)),K23&lt;=0)),NOT(ISNUMBER(Q23)),Q23&lt;=0,AND(R23&lt;&gt;"",OR(NOT(ISNUMBER(R23)),R23&lt;=0)),AND(S23&lt;&gt;"",OR(NOT(ISNUMBER(S23)),S23&lt;=0)),NOT(ISNUMBER(T23)),T23&lt;0,T23&gt;1,NOT(ISNUMBER(AE23)),AE23&lt;0,NOT(ISNUMBER(AF23)),AF23&lt;0,NOT(ISNUMBER(AG23)),AG23&lt;0,AND(AB23&lt;&gt;"",NOT(ISNUMBER(AB23)))),"格式错误",IF(AND(Z23="TRUE",OR(Y23&lt;&gt;"TRUE",M23="UNKNOWN")),"待人工复核","可导入")))))))</f>
        <v/>
      </c>
      <c r="B23" s="125" t="n"/>
      <c r="C23" s="125" t="n"/>
      <c r="D23" s="125" t="n"/>
      <c r="E23" s="125" t="n"/>
      <c r="F23" s="125" t="n"/>
      <c r="G23" s="126" t="n"/>
      <c r="H23" s="126" t="n"/>
      <c r="I23" s="126" t="n"/>
      <c r="J23" s="126" t="n"/>
      <c r="K23" s="125" t="n"/>
      <c r="L23" s="127" t="n"/>
      <c r="M23" s="127" t="n"/>
      <c r="N23" s="125" t="n"/>
      <c r="O23" s="125" t="n"/>
      <c r="P23" s="125" t="n"/>
      <c r="Q23" s="127" t="n"/>
      <c r="R23" s="125" t="n"/>
      <c r="S23" s="125" t="n"/>
      <c r="T23" s="128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7" t="n"/>
      <c r="AF23" s="127" t="n"/>
      <c r="AG23" s="127" t="n"/>
    </row>
    <row r="24">
      <c r="A24" s="118">
        <f>IF(COUNTA(B24:AG24)=0,"待填写",IF(OR(B24="",C24="",D24="",E24="",F24="",AND(G24="",H24="",I24="",J24=""),M24="",N24="",P24="",NOT(ISNUMBER(Q24)),NOT(ISNUMBER(T24)),U24="",X24="",Y24="",Z24="",AA24="",AD24="",NOT(ISNUMBER(AE24)),NOT(ISNUMBER(AF24)),NOT(ISNUMBER(AG24))),"请补全必填",IF(OR(COUNTIF($B$5:$B$104,B24)&gt;1,COUNTIF($C$5:$C$104,C24)&gt;1),"ID重复",IF(COUNTIF('水晶主数据'!$B$5:$B$54,D24)=0,"关联不存在",IF(OR(ISNA(MATCH(F24,'_枚举'!$D$2:$D$7,0)),AND(L24&lt;&gt;"",ISNA(MATCH(L24,'_枚举'!$E$2:$E$6,0))),ISNA(MATCH(M24,'_枚举'!$A$2:$A$4,0)),ISNA(MATCH(N24,'_枚举'!$B$2:$B$5,0)),ISNA(MATCH(P24,'_枚举'!$F$2:$F$5,0)),ISNA(MATCH(Y24,'_枚举'!$C$2:$C$3,0)),ISNA(MATCH(Z24,'_枚举'!$C$2:$C$3,0)),ISNA(MATCH(AA24,'_枚举'!$C$2:$C$3,0)),ISNA(MATCH(AD24,'_枚举'!$G$2:$G$3,0))),"枚举错误",IF(OR(AND(G24&lt;&gt;"",OR(NOT(ISNUMBER(G24)),G24&lt;=0)),AND(H24&lt;&gt;"",OR(NOT(ISNUMBER(H24)),H24&lt;=0)),AND(I24&lt;&gt;"",OR(NOT(ISNUMBER(I24)),I24&lt;=0)),AND(J24&lt;&gt;"",OR(NOT(ISNUMBER(J24)),J24&lt;=0)),AND(K24&lt;&gt;"",OR(NOT(ISNUMBER(K24)),K24&lt;=0)),NOT(ISNUMBER(Q24)),Q24&lt;=0,AND(R24&lt;&gt;"",OR(NOT(ISNUMBER(R24)),R24&lt;=0)),AND(S24&lt;&gt;"",OR(NOT(ISNUMBER(S24)),S24&lt;=0)),NOT(ISNUMBER(T24)),T24&lt;0,T24&gt;1,NOT(ISNUMBER(AE24)),AE24&lt;0,NOT(ISNUMBER(AF24)),AF24&lt;0,NOT(ISNUMBER(AG24)),AG24&lt;0,AND(AB24&lt;&gt;"",NOT(ISNUMBER(AB24)))),"格式错误",IF(AND(Z24="TRUE",OR(Y24&lt;&gt;"TRUE",M24="UNKNOWN")),"待人工复核","可导入")))))))</f>
        <v/>
      </c>
      <c r="B24" s="125" t="n"/>
      <c r="C24" s="125" t="n"/>
      <c r="D24" s="125" t="n"/>
      <c r="E24" s="125" t="n"/>
      <c r="F24" s="125" t="n"/>
      <c r="G24" s="126" t="n"/>
      <c r="H24" s="126" t="n"/>
      <c r="I24" s="126" t="n"/>
      <c r="J24" s="126" t="n"/>
      <c r="K24" s="125" t="n"/>
      <c r="L24" s="127" t="n"/>
      <c r="M24" s="127" t="n"/>
      <c r="N24" s="125" t="n"/>
      <c r="O24" s="125" t="n"/>
      <c r="P24" s="125" t="n"/>
      <c r="Q24" s="127" t="n"/>
      <c r="R24" s="125" t="n"/>
      <c r="S24" s="125" t="n"/>
      <c r="T24" s="128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7" t="n"/>
      <c r="AF24" s="127" t="n"/>
      <c r="AG24" s="127" t="n"/>
    </row>
    <row r="25">
      <c r="A25" s="118">
        <f>IF(COUNTA(B25:AG25)=0,"待填写",IF(OR(B25="",C25="",D25="",E25="",F25="",AND(G25="",H25="",I25="",J25=""),M25="",N25="",P25="",NOT(ISNUMBER(Q25)),NOT(ISNUMBER(T25)),U25="",X25="",Y25="",Z25="",AA25="",AD25="",NOT(ISNUMBER(AE25)),NOT(ISNUMBER(AF25)),NOT(ISNUMBER(AG25))),"请补全必填",IF(OR(COUNTIF($B$5:$B$104,B25)&gt;1,COUNTIF($C$5:$C$104,C25)&gt;1),"ID重复",IF(COUNTIF('水晶主数据'!$B$5:$B$54,D25)=0,"关联不存在",IF(OR(ISNA(MATCH(F25,'_枚举'!$D$2:$D$7,0)),AND(L25&lt;&gt;"",ISNA(MATCH(L25,'_枚举'!$E$2:$E$6,0))),ISNA(MATCH(M25,'_枚举'!$A$2:$A$4,0)),ISNA(MATCH(N25,'_枚举'!$B$2:$B$5,0)),ISNA(MATCH(P25,'_枚举'!$F$2:$F$5,0)),ISNA(MATCH(Y25,'_枚举'!$C$2:$C$3,0)),ISNA(MATCH(Z25,'_枚举'!$C$2:$C$3,0)),ISNA(MATCH(AA25,'_枚举'!$C$2:$C$3,0)),ISNA(MATCH(AD25,'_枚举'!$G$2:$G$3,0))),"枚举错误",IF(OR(AND(G25&lt;&gt;"",OR(NOT(ISNUMBER(G25)),G25&lt;=0)),AND(H25&lt;&gt;"",OR(NOT(ISNUMBER(H25)),H25&lt;=0)),AND(I25&lt;&gt;"",OR(NOT(ISNUMBER(I25)),I25&lt;=0)),AND(J25&lt;&gt;"",OR(NOT(ISNUMBER(J25)),J25&lt;=0)),AND(K25&lt;&gt;"",OR(NOT(ISNUMBER(K25)),K25&lt;=0)),NOT(ISNUMBER(Q25)),Q25&lt;=0,AND(R25&lt;&gt;"",OR(NOT(ISNUMBER(R25)),R25&lt;=0)),AND(S25&lt;&gt;"",OR(NOT(ISNUMBER(S25)),S25&lt;=0)),NOT(ISNUMBER(T25)),T25&lt;0,T25&gt;1,NOT(ISNUMBER(AE25)),AE25&lt;0,NOT(ISNUMBER(AF25)),AF25&lt;0,NOT(ISNUMBER(AG25)),AG25&lt;0,AND(AB25&lt;&gt;"",NOT(ISNUMBER(AB25)))),"格式错误",IF(AND(Z25="TRUE",OR(Y25&lt;&gt;"TRUE",M25="UNKNOWN")),"待人工复核","可导入")))))))</f>
        <v/>
      </c>
      <c r="B25" s="125" t="n"/>
      <c r="C25" s="125" t="n"/>
      <c r="D25" s="125" t="n"/>
      <c r="E25" s="125" t="n"/>
      <c r="F25" s="125" t="n"/>
      <c r="G25" s="126" t="n"/>
      <c r="H25" s="126" t="n"/>
      <c r="I25" s="126" t="n"/>
      <c r="J25" s="126" t="n"/>
      <c r="K25" s="125" t="n"/>
      <c r="L25" s="127" t="n"/>
      <c r="M25" s="127" t="n"/>
      <c r="N25" s="125" t="n"/>
      <c r="O25" s="125" t="n"/>
      <c r="P25" s="125" t="n"/>
      <c r="Q25" s="127" t="n"/>
      <c r="R25" s="125" t="n"/>
      <c r="S25" s="125" t="n"/>
      <c r="T25" s="128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7" t="n"/>
      <c r="AF25" s="127" t="n"/>
      <c r="AG25" s="127" t="n"/>
    </row>
    <row r="26">
      <c r="A26" s="118">
        <f>IF(COUNTA(B26:AG26)=0,"待填写",IF(OR(B26="",C26="",D26="",E26="",F26="",AND(G26="",H26="",I26="",J26=""),M26="",N26="",P26="",NOT(ISNUMBER(Q26)),NOT(ISNUMBER(T26)),U26="",X26="",Y26="",Z26="",AA26="",AD26="",NOT(ISNUMBER(AE26)),NOT(ISNUMBER(AF26)),NOT(ISNUMBER(AG26))),"请补全必填",IF(OR(COUNTIF($B$5:$B$104,B26)&gt;1,COUNTIF($C$5:$C$104,C26)&gt;1),"ID重复",IF(COUNTIF('水晶主数据'!$B$5:$B$54,D26)=0,"关联不存在",IF(OR(ISNA(MATCH(F26,'_枚举'!$D$2:$D$7,0)),AND(L26&lt;&gt;"",ISNA(MATCH(L26,'_枚举'!$E$2:$E$6,0))),ISNA(MATCH(M26,'_枚举'!$A$2:$A$4,0)),ISNA(MATCH(N26,'_枚举'!$B$2:$B$5,0)),ISNA(MATCH(P26,'_枚举'!$F$2:$F$5,0)),ISNA(MATCH(Y26,'_枚举'!$C$2:$C$3,0)),ISNA(MATCH(Z26,'_枚举'!$C$2:$C$3,0)),ISNA(MATCH(AA26,'_枚举'!$C$2:$C$3,0)),ISNA(MATCH(AD26,'_枚举'!$G$2:$G$3,0))),"枚举错误",IF(OR(AND(G26&lt;&gt;"",OR(NOT(ISNUMBER(G26)),G26&lt;=0)),AND(H26&lt;&gt;"",OR(NOT(ISNUMBER(H26)),H26&lt;=0)),AND(I26&lt;&gt;"",OR(NOT(ISNUMBER(I26)),I26&lt;=0)),AND(J26&lt;&gt;"",OR(NOT(ISNUMBER(J26)),J26&lt;=0)),AND(K26&lt;&gt;"",OR(NOT(ISNUMBER(K26)),K26&lt;=0)),NOT(ISNUMBER(Q26)),Q26&lt;=0,AND(R26&lt;&gt;"",OR(NOT(ISNUMBER(R26)),R26&lt;=0)),AND(S26&lt;&gt;"",OR(NOT(ISNUMBER(S26)),S26&lt;=0)),NOT(ISNUMBER(T26)),T26&lt;0,T26&gt;1,NOT(ISNUMBER(AE26)),AE26&lt;0,NOT(ISNUMBER(AF26)),AF26&lt;0,NOT(ISNUMBER(AG26)),AG26&lt;0,AND(AB26&lt;&gt;"",NOT(ISNUMBER(AB26)))),"格式错误",IF(AND(Z26="TRUE",OR(Y26&lt;&gt;"TRUE",M26="UNKNOWN")),"待人工复核","可导入")))))))</f>
        <v/>
      </c>
      <c r="B26" s="125" t="n"/>
      <c r="C26" s="125" t="n"/>
      <c r="D26" s="125" t="n"/>
      <c r="E26" s="125" t="n"/>
      <c r="F26" s="125" t="n"/>
      <c r="G26" s="126" t="n"/>
      <c r="H26" s="126" t="n"/>
      <c r="I26" s="126" t="n"/>
      <c r="J26" s="126" t="n"/>
      <c r="K26" s="125" t="n"/>
      <c r="L26" s="127" t="n"/>
      <c r="M26" s="127" t="n"/>
      <c r="N26" s="125" t="n"/>
      <c r="O26" s="125" t="n"/>
      <c r="P26" s="125" t="n"/>
      <c r="Q26" s="127" t="n"/>
      <c r="R26" s="125" t="n"/>
      <c r="S26" s="125" t="n"/>
      <c r="T26" s="128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7" t="n"/>
      <c r="AF26" s="127" t="n"/>
      <c r="AG26" s="127" t="n"/>
    </row>
    <row r="27">
      <c r="A27" s="118">
        <f>IF(COUNTA(B27:AG27)=0,"待填写",IF(OR(B27="",C27="",D27="",E27="",F27="",AND(G27="",H27="",I27="",J27=""),M27="",N27="",P27="",NOT(ISNUMBER(Q27)),NOT(ISNUMBER(T27)),U27="",X27="",Y27="",Z27="",AA27="",AD27="",NOT(ISNUMBER(AE27)),NOT(ISNUMBER(AF27)),NOT(ISNUMBER(AG27))),"请补全必填",IF(OR(COUNTIF($B$5:$B$104,B27)&gt;1,COUNTIF($C$5:$C$104,C27)&gt;1),"ID重复",IF(COUNTIF('水晶主数据'!$B$5:$B$54,D27)=0,"关联不存在",IF(OR(ISNA(MATCH(F27,'_枚举'!$D$2:$D$7,0)),AND(L27&lt;&gt;"",ISNA(MATCH(L27,'_枚举'!$E$2:$E$6,0))),ISNA(MATCH(M27,'_枚举'!$A$2:$A$4,0)),ISNA(MATCH(N27,'_枚举'!$B$2:$B$5,0)),ISNA(MATCH(P27,'_枚举'!$F$2:$F$5,0)),ISNA(MATCH(Y27,'_枚举'!$C$2:$C$3,0)),ISNA(MATCH(Z27,'_枚举'!$C$2:$C$3,0)),ISNA(MATCH(AA27,'_枚举'!$C$2:$C$3,0)),ISNA(MATCH(AD27,'_枚举'!$G$2:$G$3,0))),"枚举错误",IF(OR(AND(G27&lt;&gt;"",OR(NOT(ISNUMBER(G27)),G27&lt;=0)),AND(H27&lt;&gt;"",OR(NOT(ISNUMBER(H27)),H27&lt;=0)),AND(I27&lt;&gt;"",OR(NOT(ISNUMBER(I27)),I27&lt;=0)),AND(J27&lt;&gt;"",OR(NOT(ISNUMBER(J27)),J27&lt;=0)),AND(K27&lt;&gt;"",OR(NOT(ISNUMBER(K27)),K27&lt;=0)),NOT(ISNUMBER(Q27)),Q27&lt;=0,AND(R27&lt;&gt;"",OR(NOT(ISNUMBER(R27)),R27&lt;=0)),AND(S27&lt;&gt;"",OR(NOT(ISNUMBER(S27)),S27&lt;=0)),NOT(ISNUMBER(T27)),T27&lt;0,T27&gt;1,NOT(ISNUMBER(AE27)),AE27&lt;0,NOT(ISNUMBER(AF27)),AF27&lt;0,NOT(ISNUMBER(AG27)),AG27&lt;0,AND(AB27&lt;&gt;"",NOT(ISNUMBER(AB27)))),"格式错误",IF(AND(Z27="TRUE",OR(Y27&lt;&gt;"TRUE",M27="UNKNOWN")),"待人工复核","可导入")))))))</f>
        <v/>
      </c>
      <c r="B27" s="125" t="n"/>
      <c r="C27" s="125" t="n"/>
      <c r="D27" s="125" t="n"/>
      <c r="E27" s="125" t="n"/>
      <c r="F27" s="125" t="n"/>
      <c r="G27" s="126" t="n"/>
      <c r="H27" s="126" t="n"/>
      <c r="I27" s="126" t="n"/>
      <c r="J27" s="126" t="n"/>
      <c r="K27" s="125" t="n"/>
      <c r="L27" s="127" t="n"/>
      <c r="M27" s="127" t="n"/>
      <c r="N27" s="125" t="n"/>
      <c r="O27" s="125" t="n"/>
      <c r="P27" s="125" t="n"/>
      <c r="Q27" s="127" t="n"/>
      <c r="R27" s="125" t="n"/>
      <c r="S27" s="125" t="n"/>
      <c r="T27" s="128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7" t="n"/>
      <c r="AF27" s="127" t="n"/>
      <c r="AG27" s="127" t="n"/>
    </row>
    <row r="28">
      <c r="A28" s="118">
        <f>IF(COUNTA(B28:AG28)=0,"待填写",IF(OR(B28="",C28="",D28="",E28="",F28="",AND(G28="",H28="",I28="",J28=""),M28="",N28="",P28="",NOT(ISNUMBER(Q28)),NOT(ISNUMBER(T28)),U28="",X28="",Y28="",Z28="",AA28="",AD28="",NOT(ISNUMBER(AE28)),NOT(ISNUMBER(AF28)),NOT(ISNUMBER(AG28))),"请补全必填",IF(OR(COUNTIF($B$5:$B$104,B28)&gt;1,COUNTIF($C$5:$C$104,C28)&gt;1),"ID重复",IF(COUNTIF('水晶主数据'!$B$5:$B$54,D28)=0,"关联不存在",IF(OR(ISNA(MATCH(F28,'_枚举'!$D$2:$D$7,0)),AND(L28&lt;&gt;"",ISNA(MATCH(L28,'_枚举'!$E$2:$E$6,0))),ISNA(MATCH(M28,'_枚举'!$A$2:$A$4,0)),ISNA(MATCH(N28,'_枚举'!$B$2:$B$5,0)),ISNA(MATCH(P28,'_枚举'!$F$2:$F$5,0)),ISNA(MATCH(Y28,'_枚举'!$C$2:$C$3,0)),ISNA(MATCH(Z28,'_枚举'!$C$2:$C$3,0)),ISNA(MATCH(AA28,'_枚举'!$C$2:$C$3,0)),ISNA(MATCH(AD28,'_枚举'!$G$2:$G$3,0))),"枚举错误",IF(OR(AND(G28&lt;&gt;"",OR(NOT(ISNUMBER(G28)),G28&lt;=0)),AND(H28&lt;&gt;"",OR(NOT(ISNUMBER(H28)),H28&lt;=0)),AND(I28&lt;&gt;"",OR(NOT(ISNUMBER(I28)),I28&lt;=0)),AND(J28&lt;&gt;"",OR(NOT(ISNUMBER(J28)),J28&lt;=0)),AND(K28&lt;&gt;"",OR(NOT(ISNUMBER(K28)),K28&lt;=0)),NOT(ISNUMBER(Q28)),Q28&lt;=0,AND(R28&lt;&gt;"",OR(NOT(ISNUMBER(R28)),R28&lt;=0)),AND(S28&lt;&gt;"",OR(NOT(ISNUMBER(S28)),S28&lt;=0)),NOT(ISNUMBER(T28)),T28&lt;0,T28&gt;1,NOT(ISNUMBER(AE28)),AE28&lt;0,NOT(ISNUMBER(AF28)),AF28&lt;0,NOT(ISNUMBER(AG28)),AG28&lt;0,AND(AB28&lt;&gt;"",NOT(ISNUMBER(AB28)))),"格式错误",IF(AND(Z28="TRUE",OR(Y28&lt;&gt;"TRUE",M28="UNKNOWN")),"待人工复核","可导入")))))))</f>
        <v/>
      </c>
      <c r="B28" s="125" t="n"/>
      <c r="C28" s="125" t="n"/>
      <c r="D28" s="125" t="n"/>
      <c r="E28" s="125" t="n"/>
      <c r="F28" s="125" t="n"/>
      <c r="G28" s="126" t="n"/>
      <c r="H28" s="126" t="n"/>
      <c r="I28" s="126" t="n"/>
      <c r="J28" s="126" t="n"/>
      <c r="K28" s="125" t="n"/>
      <c r="L28" s="127" t="n"/>
      <c r="M28" s="127" t="n"/>
      <c r="N28" s="125" t="n"/>
      <c r="O28" s="125" t="n"/>
      <c r="P28" s="125" t="n"/>
      <c r="Q28" s="127" t="n"/>
      <c r="R28" s="125" t="n"/>
      <c r="S28" s="125" t="n"/>
      <c r="T28" s="128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7" t="n"/>
      <c r="AF28" s="127" t="n"/>
      <c r="AG28" s="127" t="n"/>
    </row>
    <row r="29">
      <c r="A29" s="118">
        <f>IF(COUNTA(B29:AG29)=0,"待填写",IF(OR(B29="",C29="",D29="",E29="",F29="",AND(G29="",H29="",I29="",J29=""),M29="",N29="",P29="",NOT(ISNUMBER(Q29)),NOT(ISNUMBER(T29)),U29="",X29="",Y29="",Z29="",AA29="",AD29="",NOT(ISNUMBER(AE29)),NOT(ISNUMBER(AF29)),NOT(ISNUMBER(AG29))),"请补全必填",IF(OR(COUNTIF($B$5:$B$104,B29)&gt;1,COUNTIF($C$5:$C$104,C29)&gt;1),"ID重复",IF(COUNTIF('水晶主数据'!$B$5:$B$54,D29)=0,"关联不存在",IF(OR(ISNA(MATCH(F29,'_枚举'!$D$2:$D$7,0)),AND(L29&lt;&gt;"",ISNA(MATCH(L29,'_枚举'!$E$2:$E$6,0))),ISNA(MATCH(M29,'_枚举'!$A$2:$A$4,0)),ISNA(MATCH(N29,'_枚举'!$B$2:$B$5,0)),ISNA(MATCH(P29,'_枚举'!$F$2:$F$5,0)),ISNA(MATCH(Y29,'_枚举'!$C$2:$C$3,0)),ISNA(MATCH(Z29,'_枚举'!$C$2:$C$3,0)),ISNA(MATCH(AA29,'_枚举'!$C$2:$C$3,0)),ISNA(MATCH(AD29,'_枚举'!$G$2:$G$3,0))),"枚举错误",IF(OR(AND(G29&lt;&gt;"",OR(NOT(ISNUMBER(G29)),G29&lt;=0)),AND(H29&lt;&gt;"",OR(NOT(ISNUMBER(H29)),H29&lt;=0)),AND(I29&lt;&gt;"",OR(NOT(ISNUMBER(I29)),I29&lt;=0)),AND(J29&lt;&gt;"",OR(NOT(ISNUMBER(J29)),J29&lt;=0)),AND(K29&lt;&gt;"",OR(NOT(ISNUMBER(K29)),K29&lt;=0)),NOT(ISNUMBER(Q29)),Q29&lt;=0,AND(R29&lt;&gt;"",OR(NOT(ISNUMBER(R29)),R29&lt;=0)),AND(S29&lt;&gt;"",OR(NOT(ISNUMBER(S29)),S29&lt;=0)),NOT(ISNUMBER(T29)),T29&lt;0,T29&gt;1,NOT(ISNUMBER(AE29)),AE29&lt;0,NOT(ISNUMBER(AF29)),AF29&lt;0,NOT(ISNUMBER(AG29)),AG29&lt;0,AND(AB29&lt;&gt;"",NOT(ISNUMBER(AB29)))),"格式错误",IF(AND(Z29="TRUE",OR(Y29&lt;&gt;"TRUE",M29="UNKNOWN")),"待人工复核","可导入")))))))</f>
        <v/>
      </c>
      <c r="B29" s="125" t="n"/>
      <c r="C29" s="125" t="n"/>
      <c r="D29" s="125" t="n"/>
      <c r="E29" s="125" t="n"/>
      <c r="F29" s="125" t="n"/>
      <c r="G29" s="126" t="n"/>
      <c r="H29" s="126" t="n"/>
      <c r="I29" s="126" t="n"/>
      <c r="J29" s="126" t="n"/>
      <c r="K29" s="125" t="n"/>
      <c r="L29" s="127" t="n"/>
      <c r="M29" s="127" t="n"/>
      <c r="N29" s="125" t="n"/>
      <c r="O29" s="125" t="n"/>
      <c r="P29" s="125" t="n"/>
      <c r="Q29" s="127" t="n"/>
      <c r="R29" s="125" t="n"/>
      <c r="S29" s="125" t="n"/>
      <c r="T29" s="128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7" t="n"/>
      <c r="AF29" s="127" t="n"/>
      <c r="AG29" s="127" t="n"/>
    </row>
    <row r="30">
      <c r="A30" s="118">
        <f>IF(COUNTA(B30:AG30)=0,"待填写",IF(OR(B30="",C30="",D30="",E30="",F30="",AND(G30="",H30="",I30="",J30=""),M30="",N30="",P30="",NOT(ISNUMBER(Q30)),NOT(ISNUMBER(T30)),U30="",X30="",Y30="",Z30="",AA30="",AD30="",NOT(ISNUMBER(AE30)),NOT(ISNUMBER(AF30)),NOT(ISNUMBER(AG30))),"请补全必填",IF(OR(COUNTIF($B$5:$B$104,B30)&gt;1,COUNTIF($C$5:$C$104,C30)&gt;1),"ID重复",IF(COUNTIF('水晶主数据'!$B$5:$B$54,D30)=0,"关联不存在",IF(OR(ISNA(MATCH(F30,'_枚举'!$D$2:$D$7,0)),AND(L30&lt;&gt;"",ISNA(MATCH(L30,'_枚举'!$E$2:$E$6,0))),ISNA(MATCH(M30,'_枚举'!$A$2:$A$4,0)),ISNA(MATCH(N30,'_枚举'!$B$2:$B$5,0)),ISNA(MATCH(P30,'_枚举'!$F$2:$F$5,0)),ISNA(MATCH(Y30,'_枚举'!$C$2:$C$3,0)),ISNA(MATCH(Z30,'_枚举'!$C$2:$C$3,0)),ISNA(MATCH(AA30,'_枚举'!$C$2:$C$3,0)),ISNA(MATCH(AD30,'_枚举'!$G$2:$G$3,0))),"枚举错误",IF(OR(AND(G30&lt;&gt;"",OR(NOT(ISNUMBER(G30)),G30&lt;=0)),AND(H30&lt;&gt;"",OR(NOT(ISNUMBER(H30)),H30&lt;=0)),AND(I30&lt;&gt;"",OR(NOT(ISNUMBER(I30)),I30&lt;=0)),AND(J30&lt;&gt;"",OR(NOT(ISNUMBER(J30)),J30&lt;=0)),AND(K30&lt;&gt;"",OR(NOT(ISNUMBER(K30)),K30&lt;=0)),NOT(ISNUMBER(Q30)),Q30&lt;=0,AND(R30&lt;&gt;"",OR(NOT(ISNUMBER(R30)),R30&lt;=0)),AND(S30&lt;&gt;"",OR(NOT(ISNUMBER(S30)),S30&lt;=0)),NOT(ISNUMBER(T30)),T30&lt;0,T30&gt;1,NOT(ISNUMBER(AE30)),AE30&lt;0,NOT(ISNUMBER(AF30)),AF30&lt;0,NOT(ISNUMBER(AG30)),AG30&lt;0,AND(AB30&lt;&gt;"",NOT(ISNUMBER(AB30)))),"格式错误",IF(AND(Z30="TRUE",OR(Y30&lt;&gt;"TRUE",M30="UNKNOWN")),"待人工复核","可导入")))))))</f>
        <v/>
      </c>
      <c r="B30" s="125" t="n"/>
      <c r="C30" s="125" t="n"/>
      <c r="D30" s="125" t="n"/>
      <c r="E30" s="125" t="n"/>
      <c r="F30" s="125" t="n"/>
      <c r="G30" s="126" t="n"/>
      <c r="H30" s="126" t="n"/>
      <c r="I30" s="126" t="n"/>
      <c r="J30" s="126" t="n"/>
      <c r="K30" s="125" t="n"/>
      <c r="L30" s="127" t="n"/>
      <c r="M30" s="127" t="n"/>
      <c r="N30" s="125" t="n"/>
      <c r="O30" s="125" t="n"/>
      <c r="P30" s="125" t="n"/>
      <c r="Q30" s="127" t="n"/>
      <c r="R30" s="125" t="n"/>
      <c r="S30" s="125" t="n"/>
      <c r="T30" s="128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7" t="n"/>
      <c r="AF30" s="127" t="n"/>
      <c r="AG30" s="127" t="n"/>
    </row>
    <row r="31">
      <c r="A31" s="118">
        <f>IF(COUNTA(B31:AG31)=0,"待填写",IF(OR(B31="",C31="",D31="",E31="",F31="",AND(G31="",H31="",I31="",J31=""),M31="",N31="",P31="",NOT(ISNUMBER(Q31)),NOT(ISNUMBER(T31)),U31="",X31="",Y31="",Z31="",AA31="",AD31="",NOT(ISNUMBER(AE31)),NOT(ISNUMBER(AF31)),NOT(ISNUMBER(AG31))),"请补全必填",IF(OR(COUNTIF($B$5:$B$104,B31)&gt;1,COUNTIF($C$5:$C$104,C31)&gt;1),"ID重复",IF(COUNTIF('水晶主数据'!$B$5:$B$54,D31)=0,"关联不存在",IF(OR(ISNA(MATCH(F31,'_枚举'!$D$2:$D$7,0)),AND(L31&lt;&gt;"",ISNA(MATCH(L31,'_枚举'!$E$2:$E$6,0))),ISNA(MATCH(M31,'_枚举'!$A$2:$A$4,0)),ISNA(MATCH(N31,'_枚举'!$B$2:$B$5,0)),ISNA(MATCH(P31,'_枚举'!$F$2:$F$5,0)),ISNA(MATCH(Y31,'_枚举'!$C$2:$C$3,0)),ISNA(MATCH(Z31,'_枚举'!$C$2:$C$3,0)),ISNA(MATCH(AA31,'_枚举'!$C$2:$C$3,0)),ISNA(MATCH(AD31,'_枚举'!$G$2:$G$3,0))),"枚举错误",IF(OR(AND(G31&lt;&gt;"",OR(NOT(ISNUMBER(G31)),G31&lt;=0)),AND(H31&lt;&gt;"",OR(NOT(ISNUMBER(H31)),H31&lt;=0)),AND(I31&lt;&gt;"",OR(NOT(ISNUMBER(I31)),I31&lt;=0)),AND(J31&lt;&gt;"",OR(NOT(ISNUMBER(J31)),J31&lt;=0)),AND(K31&lt;&gt;"",OR(NOT(ISNUMBER(K31)),K31&lt;=0)),NOT(ISNUMBER(Q31)),Q31&lt;=0,AND(R31&lt;&gt;"",OR(NOT(ISNUMBER(R31)),R31&lt;=0)),AND(S31&lt;&gt;"",OR(NOT(ISNUMBER(S31)),S31&lt;=0)),NOT(ISNUMBER(T31)),T31&lt;0,T31&gt;1,NOT(ISNUMBER(AE31)),AE31&lt;0,NOT(ISNUMBER(AF31)),AF31&lt;0,NOT(ISNUMBER(AG31)),AG31&lt;0,AND(AB31&lt;&gt;"",NOT(ISNUMBER(AB31)))),"格式错误",IF(AND(Z31="TRUE",OR(Y31&lt;&gt;"TRUE",M31="UNKNOWN")),"待人工复核","可导入")))))))</f>
        <v/>
      </c>
      <c r="B31" s="125" t="n"/>
      <c r="C31" s="125" t="n"/>
      <c r="D31" s="125" t="n"/>
      <c r="E31" s="125" t="n"/>
      <c r="F31" s="125" t="n"/>
      <c r="G31" s="126" t="n"/>
      <c r="H31" s="126" t="n"/>
      <c r="I31" s="126" t="n"/>
      <c r="J31" s="126" t="n"/>
      <c r="K31" s="125" t="n"/>
      <c r="L31" s="127" t="n"/>
      <c r="M31" s="127" t="n"/>
      <c r="N31" s="125" t="n"/>
      <c r="O31" s="125" t="n"/>
      <c r="P31" s="125" t="n"/>
      <c r="Q31" s="127" t="n"/>
      <c r="R31" s="125" t="n"/>
      <c r="S31" s="125" t="n"/>
      <c r="T31" s="128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7" t="n"/>
      <c r="AF31" s="127" t="n"/>
      <c r="AG31" s="127" t="n"/>
    </row>
    <row r="32">
      <c r="A32" s="118">
        <f>IF(COUNTA(B32:AG32)=0,"待填写",IF(OR(B32="",C32="",D32="",E32="",F32="",AND(G32="",H32="",I32="",J32=""),M32="",N32="",P32="",NOT(ISNUMBER(Q32)),NOT(ISNUMBER(T32)),U32="",X32="",Y32="",Z32="",AA32="",AD32="",NOT(ISNUMBER(AE32)),NOT(ISNUMBER(AF32)),NOT(ISNUMBER(AG32))),"请补全必填",IF(OR(COUNTIF($B$5:$B$104,B32)&gt;1,COUNTIF($C$5:$C$104,C32)&gt;1),"ID重复",IF(COUNTIF('水晶主数据'!$B$5:$B$54,D32)=0,"关联不存在",IF(OR(ISNA(MATCH(F32,'_枚举'!$D$2:$D$7,0)),AND(L32&lt;&gt;"",ISNA(MATCH(L32,'_枚举'!$E$2:$E$6,0))),ISNA(MATCH(M32,'_枚举'!$A$2:$A$4,0)),ISNA(MATCH(N32,'_枚举'!$B$2:$B$5,0)),ISNA(MATCH(P32,'_枚举'!$F$2:$F$5,0)),ISNA(MATCH(Y32,'_枚举'!$C$2:$C$3,0)),ISNA(MATCH(Z32,'_枚举'!$C$2:$C$3,0)),ISNA(MATCH(AA32,'_枚举'!$C$2:$C$3,0)),ISNA(MATCH(AD32,'_枚举'!$G$2:$G$3,0))),"枚举错误",IF(OR(AND(G32&lt;&gt;"",OR(NOT(ISNUMBER(G32)),G32&lt;=0)),AND(H32&lt;&gt;"",OR(NOT(ISNUMBER(H32)),H32&lt;=0)),AND(I32&lt;&gt;"",OR(NOT(ISNUMBER(I32)),I32&lt;=0)),AND(J32&lt;&gt;"",OR(NOT(ISNUMBER(J32)),J32&lt;=0)),AND(K32&lt;&gt;"",OR(NOT(ISNUMBER(K32)),K32&lt;=0)),NOT(ISNUMBER(Q32)),Q32&lt;=0,AND(R32&lt;&gt;"",OR(NOT(ISNUMBER(R32)),R32&lt;=0)),AND(S32&lt;&gt;"",OR(NOT(ISNUMBER(S32)),S32&lt;=0)),NOT(ISNUMBER(T32)),T32&lt;0,T32&gt;1,NOT(ISNUMBER(AE32)),AE32&lt;0,NOT(ISNUMBER(AF32)),AF32&lt;0,NOT(ISNUMBER(AG32)),AG32&lt;0,AND(AB32&lt;&gt;"",NOT(ISNUMBER(AB32)))),"格式错误",IF(AND(Z32="TRUE",OR(Y32&lt;&gt;"TRUE",M32="UNKNOWN")),"待人工复核","可导入")))))))</f>
        <v/>
      </c>
      <c r="B32" s="125" t="n"/>
      <c r="C32" s="125" t="n"/>
      <c r="D32" s="125" t="n"/>
      <c r="E32" s="125" t="n"/>
      <c r="F32" s="125" t="n"/>
      <c r="G32" s="126" t="n"/>
      <c r="H32" s="126" t="n"/>
      <c r="I32" s="126" t="n"/>
      <c r="J32" s="126" t="n"/>
      <c r="K32" s="125" t="n"/>
      <c r="L32" s="127" t="n"/>
      <c r="M32" s="127" t="n"/>
      <c r="N32" s="125" t="n"/>
      <c r="O32" s="125" t="n"/>
      <c r="P32" s="125" t="n"/>
      <c r="Q32" s="127" t="n"/>
      <c r="R32" s="125" t="n"/>
      <c r="S32" s="125" t="n"/>
      <c r="T32" s="128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7" t="n"/>
      <c r="AF32" s="127" t="n"/>
      <c r="AG32" s="127" t="n"/>
    </row>
    <row r="33">
      <c r="A33" s="118">
        <f>IF(COUNTA(B33:AG33)=0,"待填写",IF(OR(B33="",C33="",D33="",E33="",F33="",AND(G33="",H33="",I33="",J33=""),M33="",N33="",P33="",NOT(ISNUMBER(Q33)),NOT(ISNUMBER(T33)),U33="",X33="",Y33="",Z33="",AA33="",AD33="",NOT(ISNUMBER(AE33)),NOT(ISNUMBER(AF33)),NOT(ISNUMBER(AG33))),"请补全必填",IF(OR(COUNTIF($B$5:$B$104,B33)&gt;1,COUNTIF($C$5:$C$104,C33)&gt;1),"ID重复",IF(COUNTIF('水晶主数据'!$B$5:$B$54,D33)=0,"关联不存在",IF(OR(ISNA(MATCH(F33,'_枚举'!$D$2:$D$7,0)),AND(L33&lt;&gt;"",ISNA(MATCH(L33,'_枚举'!$E$2:$E$6,0))),ISNA(MATCH(M33,'_枚举'!$A$2:$A$4,0)),ISNA(MATCH(N33,'_枚举'!$B$2:$B$5,0)),ISNA(MATCH(P33,'_枚举'!$F$2:$F$5,0)),ISNA(MATCH(Y33,'_枚举'!$C$2:$C$3,0)),ISNA(MATCH(Z33,'_枚举'!$C$2:$C$3,0)),ISNA(MATCH(AA33,'_枚举'!$C$2:$C$3,0)),ISNA(MATCH(AD33,'_枚举'!$G$2:$G$3,0))),"枚举错误",IF(OR(AND(G33&lt;&gt;"",OR(NOT(ISNUMBER(G33)),G33&lt;=0)),AND(H33&lt;&gt;"",OR(NOT(ISNUMBER(H33)),H33&lt;=0)),AND(I33&lt;&gt;"",OR(NOT(ISNUMBER(I33)),I33&lt;=0)),AND(J33&lt;&gt;"",OR(NOT(ISNUMBER(J33)),J33&lt;=0)),AND(K33&lt;&gt;"",OR(NOT(ISNUMBER(K33)),K33&lt;=0)),NOT(ISNUMBER(Q33)),Q33&lt;=0,AND(R33&lt;&gt;"",OR(NOT(ISNUMBER(R33)),R33&lt;=0)),AND(S33&lt;&gt;"",OR(NOT(ISNUMBER(S33)),S33&lt;=0)),NOT(ISNUMBER(T33)),T33&lt;0,T33&gt;1,NOT(ISNUMBER(AE33)),AE33&lt;0,NOT(ISNUMBER(AF33)),AF33&lt;0,NOT(ISNUMBER(AG33)),AG33&lt;0,AND(AB33&lt;&gt;"",NOT(ISNUMBER(AB33)))),"格式错误",IF(AND(Z33="TRUE",OR(Y33&lt;&gt;"TRUE",M33="UNKNOWN")),"待人工复核","可导入")))))))</f>
        <v/>
      </c>
      <c r="B33" s="125" t="n"/>
      <c r="C33" s="125" t="n"/>
      <c r="D33" s="125" t="n"/>
      <c r="E33" s="125" t="n"/>
      <c r="F33" s="125" t="n"/>
      <c r="G33" s="126" t="n"/>
      <c r="H33" s="126" t="n"/>
      <c r="I33" s="126" t="n"/>
      <c r="J33" s="126" t="n"/>
      <c r="K33" s="125" t="n"/>
      <c r="L33" s="127" t="n"/>
      <c r="M33" s="127" t="n"/>
      <c r="N33" s="125" t="n"/>
      <c r="O33" s="125" t="n"/>
      <c r="P33" s="125" t="n"/>
      <c r="Q33" s="127" t="n"/>
      <c r="R33" s="125" t="n"/>
      <c r="S33" s="125" t="n"/>
      <c r="T33" s="128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7" t="n"/>
      <c r="AF33" s="127" t="n"/>
      <c r="AG33" s="127" t="n"/>
    </row>
    <row r="34">
      <c r="A34" s="118">
        <f>IF(COUNTA(B34:AG34)=0,"待填写",IF(OR(B34="",C34="",D34="",E34="",F34="",AND(G34="",H34="",I34="",J34=""),M34="",N34="",P34="",NOT(ISNUMBER(Q34)),NOT(ISNUMBER(T34)),U34="",X34="",Y34="",Z34="",AA34="",AD34="",NOT(ISNUMBER(AE34)),NOT(ISNUMBER(AF34)),NOT(ISNUMBER(AG34))),"请补全必填",IF(OR(COUNTIF($B$5:$B$104,B34)&gt;1,COUNTIF($C$5:$C$104,C34)&gt;1),"ID重复",IF(COUNTIF('水晶主数据'!$B$5:$B$54,D34)=0,"关联不存在",IF(OR(ISNA(MATCH(F34,'_枚举'!$D$2:$D$7,0)),AND(L34&lt;&gt;"",ISNA(MATCH(L34,'_枚举'!$E$2:$E$6,0))),ISNA(MATCH(M34,'_枚举'!$A$2:$A$4,0)),ISNA(MATCH(N34,'_枚举'!$B$2:$B$5,0)),ISNA(MATCH(P34,'_枚举'!$F$2:$F$5,0)),ISNA(MATCH(Y34,'_枚举'!$C$2:$C$3,0)),ISNA(MATCH(Z34,'_枚举'!$C$2:$C$3,0)),ISNA(MATCH(AA34,'_枚举'!$C$2:$C$3,0)),ISNA(MATCH(AD34,'_枚举'!$G$2:$G$3,0))),"枚举错误",IF(OR(AND(G34&lt;&gt;"",OR(NOT(ISNUMBER(G34)),G34&lt;=0)),AND(H34&lt;&gt;"",OR(NOT(ISNUMBER(H34)),H34&lt;=0)),AND(I34&lt;&gt;"",OR(NOT(ISNUMBER(I34)),I34&lt;=0)),AND(J34&lt;&gt;"",OR(NOT(ISNUMBER(J34)),J34&lt;=0)),AND(K34&lt;&gt;"",OR(NOT(ISNUMBER(K34)),K34&lt;=0)),NOT(ISNUMBER(Q34)),Q34&lt;=0,AND(R34&lt;&gt;"",OR(NOT(ISNUMBER(R34)),R34&lt;=0)),AND(S34&lt;&gt;"",OR(NOT(ISNUMBER(S34)),S34&lt;=0)),NOT(ISNUMBER(T34)),T34&lt;0,T34&gt;1,NOT(ISNUMBER(AE34)),AE34&lt;0,NOT(ISNUMBER(AF34)),AF34&lt;0,NOT(ISNUMBER(AG34)),AG34&lt;0,AND(AB34&lt;&gt;"",NOT(ISNUMBER(AB34)))),"格式错误",IF(AND(Z34="TRUE",OR(Y34&lt;&gt;"TRUE",M34="UNKNOWN")),"待人工复核","可导入")))))))</f>
        <v/>
      </c>
      <c r="B34" s="125" t="n"/>
      <c r="C34" s="125" t="n"/>
      <c r="D34" s="125" t="n"/>
      <c r="E34" s="125" t="n"/>
      <c r="F34" s="125" t="n"/>
      <c r="G34" s="126" t="n"/>
      <c r="H34" s="126" t="n"/>
      <c r="I34" s="126" t="n"/>
      <c r="J34" s="126" t="n"/>
      <c r="K34" s="125" t="n"/>
      <c r="L34" s="127" t="n"/>
      <c r="M34" s="127" t="n"/>
      <c r="N34" s="125" t="n"/>
      <c r="O34" s="125" t="n"/>
      <c r="P34" s="125" t="n"/>
      <c r="Q34" s="127" t="n"/>
      <c r="R34" s="125" t="n"/>
      <c r="S34" s="125" t="n"/>
      <c r="T34" s="128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7" t="n"/>
      <c r="AF34" s="127" t="n"/>
      <c r="AG34" s="127" t="n"/>
    </row>
    <row r="35">
      <c r="A35" s="118">
        <f>IF(COUNTA(B35:AG35)=0,"待填写",IF(OR(B35="",C35="",D35="",E35="",F35="",AND(G35="",H35="",I35="",J35=""),M35="",N35="",P35="",NOT(ISNUMBER(Q35)),NOT(ISNUMBER(T35)),U35="",X35="",Y35="",Z35="",AA35="",AD35="",NOT(ISNUMBER(AE35)),NOT(ISNUMBER(AF35)),NOT(ISNUMBER(AG35))),"请补全必填",IF(OR(COUNTIF($B$5:$B$104,B35)&gt;1,COUNTIF($C$5:$C$104,C35)&gt;1),"ID重复",IF(COUNTIF('水晶主数据'!$B$5:$B$54,D35)=0,"关联不存在",IF(OR(ISNA(MATCH(F35,'_枚举'!$D$2:$D$7,0)),AND(L35&lt;&gt;"",ISNA(MATCH(L35,'_枚举'!$E$2:$E$6,0))),ISNA(MATCH(M35,'_枚举'!$A$2:$A$4,0)),ISNA(MATCH(N35,'_枚举'!$B$2:$B$5,0)),ISNA(MATCH(P35,'_枚举'!$F$2:$F$5,0)),ISNA(MATCH(Y35,'_枚举'!$C$2:$C$3,0)),ISNA(MATCH(Z35,'_枚举'!$C$2:$C$3,0)),ISNA(MATCH(AA35,'_枚举'!$C$2:$C$3,0)),ISNA(MATCH(AD35,'_枚举'!$G$2:$G$3,0))),"枚举错误",IF(OR(AND(G35&lt;&gt;"",OR(NOT(ISNUMBER(G35)),G35&lt;=0)),AND(H35&lt;&gt;"",OR(NOT(ISNUMBER(H35)),H35&lt;=0)),AND(I35&lt;&gt;"",OR(NOT(ISNUMBER(I35)),I35&lt;=0)),AND(J35&lt;&gt;"",OR(NOT(ISNUMBER(J35)),J35&lt;=0)),AND(K35&lt;&gt;"",OR(NOT(ISNUMBER(K35)),K35&lt;=0)),NOT(ISNUMBER(Q35)),Q35&lt;=0,AND(R35&lt;&gt;"",OR(NOT(ISNUMBER(R35)),R35&lt;=0)),AND(S35&lt;&gt;"",OR(NOT(ISNUMBER(S35)),S35&lt;=0)),NOT(ISNUMBER(T35)),T35&lt;0,T35&gt;1,NOT(ISNUMBER(AE35)),AE35&lt;0,NOT(ISNUMBER(AF35)),AF35&lt;0,NOT(ISNUMBER(AG35)),AG35&lt;0,AND(AB35&lt;&gt;"",NOT(ISNUMBER(AB35)))),"格式错误",IF(AND(Z35="TRUE",OR(Y35&lt;&gt;"TRUE",M35="UNKNOWN")),"待人工复核","可导入")))))))</f>
        <v/>
      </c>
      <c r="B35" s="125" t="n"/>
      <c r="C35" s="125" t="n"/>
      <c r="D35" s="125" t="n"/>
      <c r="E35" s="125" t="n"/>
      <c r="F35" s="125" t="n"/>
      <c r="G35" s="126" t="n"/>
      <c r="H35" s="126" t="n"/>
      <c r="I35" s="126" t="n"/>
      <c r="J35" s="126" t="n"/>
      <c r="K35" s="125" t="n"/>
      <c r="L35" s="127" t="n"/>
      <c r="M35" s="127" t="n"/>
      <c r="N35" s="125" t="n"/>
      <c r="O35" s="125" t="n"/>
      <c r="P35" s="125" t="n"/>
      <c r="Q35" s="127" t="n"/>
      <c r="R35" s="125" t="n"/>
      <c r="S35" s="125" t="n"/>
      <c r="T35" s="128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7" t="n"/>
      <c r="AF35" s="127" t="n"/>
      <c r="AG35" s="127" t="n"/>
    </row>
    <row r="36">
      <c r="A36" s="118">
        <f>IF(COUNTA(B36:AG36)=0,"待填写",IF(OR(B36="",C36="",D36="",E36="",F36="",AND(G36="",H36="",I36="",J36=""),M36="",N36="",P36="",NOT(ISNUMBER(Q36)),NOT(ISNUMBER(T36)),U36="",X36="",Y36="",Z36="",AA36="",AD36="",NOT(ISNUMBER(AE36)),NOT(ISNUMBER(AF36)),NOT(ISNUMBER(AG36))),"请补全必填",IF(OR(COUNTIF($B$5:$B$104,B36)&gt;1,COUNTIF($C$5:$C$104,C36)&gt;1),"ID重复",IF(COUNTIF('水晶主数据'!$B$5:$B$54,D36)=0,"关联不存在",IF(OR(ISNA(MATCH(F36,'_枚举'!$D$2:$D$7,0)),AND(L36&lt;&gt;"",ISNA(MATCH(L36,'_枚举'!$E$2:$E$6,0))),ISNA(MATCH(M36,'_枚举'!$A$2:$A$4,0)),ISNA(MATCH(N36,'_枚举'!$B$2:$B$5,0)),ISNA(MATCH(P36,'_枚举'!$F$2:$F$5,0)),ISNA(MATCH(Y36,'_枚举'!$C$2:$C$3,0)),ISNA(MATCH(Z36,'_枚举'!$C$2:$C$3,0)),ISNA(MATCH(AA36,'_枚举'!$C$2:$C$3,0)),ISNA(MATCH(AD36,'_枚举'!$G$2:$G$3,0))),"枚举错误",IF(OR(AND(G36&lt;&gt;"",OR(NOT(ISNUMBER(G36)),G36&lt;=0)),AND(H36&lt;&gt;"",OR(NOT(ISNUMBER(H36)),H36&lt;=0)),AND(I36&lt;&gt;"",OR(NOT(ISNUMBER(I36)),I36&lt;=0)),AND(J36&lt;&gt;"",OR(NOT(ISNUMBER(J36)),J36&lt;=0)),AND(K36&lt;&gt;"",OR(NOT(ISNUMBER(K36)),K36&lt;=0)),NOT(ISNUMBER(Q36)),Q36&lt;=0,AND(R36&lt;&gt;"",OR(NOT(ISNUMBER(R36)),R36&lt;=0)),AND(S36&lt;&gt;"",OR(NOT(ISNUMBER(S36)),S36&lt;=0)),NOT(ISNUMBER(T36)),T36&lt;0,T36&gt;1,NOT(ISNUMBER(AE36)),AE36&lt;0,NOT(ISNUMBER(AF36)),AF36&lt;0,NOT(ISNUMBER(AG36)),AG36&lt;0,AND(AB36&lt;&gt;"",NOT(ISNUMBER(AB36)))),"格式错误",IF(AND(Z36="TRUE",OR(Y36&lt;&gt;"TRUE",M36="UNKNOWN")),"待人工复核","可导入")))))))</f>
        <v/>
      </c>
      <c r="B36" s="125" t="n"/>
      <c r="C36" s="125" t="n"/>
      <c r="D36" s="125" t="n"/>
      <c r="E36" s="125" t="n"/>
      <c r="F36" s="125" t="n"/>
      <c r="G36" s="126" t="n"/>
      <c r="H36" s="126" t="n"/>
      <c r="I36" s="126" t="n"/>
      <c r="J36" s="126" t="n"/>
      <c r="K36" s="125" t="n"/>
      <c r="L36" s="127" t="n"/>
      <c r="M36" s="127" t="n"/>
      <c r="N36" s="125" t="n"/>
      <c r="O36" s="125" t="n"/>
      <c r="P36" s="125" t="n"/>
      <c r="Q36" s="127" t="n"/>
      <c r="R36" s="125" t="n"/>
      <c r="S36" s="125" t="n"/>
      <c r="T36" s="128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7" t="n"/>
      <c r="AF36" s="127" t="n"/>
      <c r="AG36" s="127" t="n"/>
    </row>
    <row r="37">
      <c r="A37" s="118">
        <f>IF(COUNTA(B37:AG37)=0,"待填写",IF(OR(B37="",C37="",D37="",E37="",F37="",AND(G37="",H37="",I37="",J37=""),M37="",N37="",P37="",NOT(ISNUMBER(Q37)),NOT(ISNUMBER(T37)),U37="",X37="",Y37="",Z37="",AA37="",AD37="",NOT(ISNUMBER(AE37)),NOT(ISNUMBER(AF37)),NOT(ISNUMBER(AG37))),"请补全必填",IF(OR(COUNTIF($B$5:$B$104,B37)&gt;1,COUNTIF($C$5:$C$104,C37)&gt;1),"ID重复",IF(COUNTIF('水晶主数据'!$B$5:$B$54,D37)=0,"关联不存在",IF(OR(ISNA(MATCH(F37,'_枚举'!$D$2:$D$7,0)),AND(L37&lt;&gt;"",ISNA(MATCH(L37,'_枚举'!$E$2:$E$6,0))),ISNA(MATCH(M37,'_枚举'!$A$2:$A$4,0)),ISNA(MATCH(N37,'_枚举'!$B$2:$B$5,0)),ISNA(MATCH(P37,'_枚举'!$F$2:$F$5,0)),ISNA(MATCH(Y37,'_枚举'!$C$2:$C$3,0)),ISNA(MATCH(Z37,'_枚举'!$C$2:$C$3,0)),ISNA(MATCH(AA37,'_枚举'!$C$2:$C$3,0)),ISNA(MATCH(AD37,'_枚举'!$G$2:$G$3,0))),"枚举错误",IF(OR(AND(G37&lt;&gt;"",OR(NOT(ISNUMBER(G37)),G37&lt;=0)),AND(H37&lt;&gt;"",OR(NOT(ISNUMBER(H37)),H37&lt;=0)),AND(I37&lt;&gt;"",OR(NOT(ISNUMBER(I37)),I37&lt;=0)),AND(J37&lt;&gt;"",OR(NOT(ISNUMBER(J37)),J37&lt;=0)),AND(K37&lt;&gt;"",OR(NOT(ISNUMBER(K37)),K37&lt;=0)),NOT(ISNUMBER(Q37)),Q37&lt;=0,AND(R37&lt;&gt;"",OR(NOT(ISNUMBER(R37)),R37&lt;=0)),AND(S37&lt;&gt;"",OR(NOT(ISNUMBER(S37)),S37&lt;=0)),NOT(ISNUMBER(T37)),T37&lt;0,T37&gt;1,NOT(ISNUMBER(AE37)),AE37&lt;0,NOT(ISNUMBER(AF37)),AF37&lt;0,NOT(ISNUMBER(AG37)),AG37&lt;0,AND(AB37&lt;&gt;"",NOT(ISNUMBER(AB37)))),"格式错误",IF(AND(Z37="TRUE",OR(Y37&lt;&gt;"TRUE",M37="UNKNOWN")),"待人工复核","可导入")))))))</f>
        <v/>
      </c>
      <c r="B37" s="125" t="n"/>
      <c r="C37" s="125" t="n"/>
      <c r="D37" s="125" t="n"/>
      <c r="E37" s="125" t="n"/>
      <c r="F37" s="125" t="n"/>
      <c r="G37" s="126" t="n"/>
      <c r="H37" s="126" t="n"/>
      <c r="I37" s="126" t="n"/>
      <c r="J37" s="126" t="n"/>
      <c r="K37" s="125" t="n"/>
      <c r="L37" s="127" t="n"/>
      <c r="M37" s="127" t="n"/>
      <c r="N37" s="125" t="n"/>
      <c r="O37" s="125" t="n"/>
      <c r="P37" s="125" t="n"/>
      <c r="Q37" s="127" t="n"/>
      <c r="R37" s="125" t="n"/>
      <c r="S37" s="125" t="n"/>
      <c r="T37" s="128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7" t="n"/>
      <c r="AF37" s="127" t="n"/>
      <c r="AG37" s="127" t="n"/>
    </row>
    <row r="38">
      <c r="A38" s="118">
        <f>IF(COUNTA(B38:AG38)=0,"待填写",IF(OR(B38="",C38="",D38="",E38="",F38="",AND(G38="",H38="",I38="",J38=""),M38="",N38="",P38="",NOT(ISNUMBER(Q38)),NOT(ISNUMBER(T38)),U38="",X38="",Y38="",Z38="",AA38="",AD38="",NOT(ISNUMBER(AE38)),NOT(ISNUMBER(AF38)),NOT(ISNUMBER(AG38))),"请补全必填",IF(OR(COUNTIF($B$5:$B$104,B38)&gt;1,COUNTIF($C$5:$C$104,C38)&gt;1),"ID重复",IF(COUNTIF('水晶主数据'!$B$5:$B$54,D38)=0,"关联不存在",IF(OR(ISNA(MATCH(F38,'_枚举'!$D$2:$D$7,0)),AND(L38&lt;&gt;"",ISNA(MATCH(L38,'_枚举'!$E$2:$E$6,0))),ISNA(MATCH(M38,'_枚举'!$A$2:$A$4,0)),ISNA(MATCH(N38,'_枚举'!$B$2:$B$5,0)),ISNA(MATCH(P38,'_枚举'!$F$2:$F$5,0)),ISNA(MATCH(Y38,'_枚举'!$C$2:$C$3,0)),ISNA(MATCH(Z38,'_枚举'!$C$2:$C$3,0)),ISNA(MATCH(AA38,'_枚举'!$C$2:$C$3,0)),ISNA(MATCH(AD38,'_枚举'!$G$2:$G$3,0))),"枚举错误",IF(OR(AND(G38&lt;&gt;"",OR(NOT(ISNUMBER(G38)),G38&lt;=0)),AND(H38&lt;&gt;"",OR(NOT(ISNUMBER(H38)),H38&lt;=0)),AND(I38&lt;&gt;"",OR(NOT(ISNUMBER(I38)),I38&lt;=0)),AND(J38&lt;&gt;"",OR(NOT(ISNUMBER(J38)),J38&lt;=0)),AND(K38&lt;&gt;"",OR(NOT(ISNUMBER(K38)),K38&lt;=0)),NOT(ISNUMBER(Q38)),Q38&lt;=0,AND(R38&lt;&gt;"",OR(NOT(ISNUMBER(R38)),R38&lt;=0)),AND(S38&lt;&gt;"",OR(NOT(ISNUMBER(S38)),S38&lt;=0)),NOT(ISNUMBER(T38)),T38&lt;0,T38&gt;1,NOT(ISNUMBER(AE38)),AE38&lt;0,NOT(ISNUMBER(AF38)),AF38&lt;0,NOT(ISNUMBER(AG38)),AG38&lt;0,AND(AB38&lt;&gt;"",NOT(ISNUMBER(AB38)))),"格式错误",IF(AND(Z38="TRUE",OR(Y38&lt;&gt;"TRUE",M38="UNKNOWN")),"待人工复核","可导入")))))))</f>
        <v/>
      </c>
      <c r="B38" s="125" t="n"/>
      <c r="C38" s="125" t="n"/>
      <c r="D38" s="125" t="n"/>
      <c r="E38" s="125" t="n"/>
      <c r="F38" s="125" t="n"/>
      <c r="G38" s="126" t="n"/>
      <c r="H38" s="126" t="n"/>
      <c r="I38" s="126" t="n"/>
      <c r="J38" s="126" t="n"/>
      <c r="K38" s="125" t="n"/>
      <c r="L38" s="127" t="n"/>
      <c r="M38" s="127" t="n"/>
      <c r="N38" s="125" t="n"/>
      <c r="O38" s="125" t="n"/>
      <c r="P38" s="125" t="n"/>
      <c r="Q38" s="127" t="n"/>
      <c r="R38" s="125" t="n"/>
      <c r="S38" s="125" t="n"/>
      <c r="T38" s="128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7" t="n"/>
      <c r="AF38" s="127" t="n"/>
      <c r="AG38" s="127" t="n"/>
    </row>
    <row r="39">
      <c r="A39" s="118">
        <f>IF(COUNTA(B39:AG39)=0,"待填写",IF(OR(B39="",C39="",D39="",E39="",F39="",AND(G39="",H39="",I39="",J39=""),M39="",N39="",P39="",NOT(ISNUMBER(Q39)),NOT(ISNUMBER(T39)),U39="",X39="",Y39="",Z39="",AA39="",AD39="",NOT(ISNUMBER(AE39)),NOT(ISNUMBER(AF39)),NOT(ISNUMBER(AG39))),"请补全必填",IF(OR(COUNTIF($B$5:$B$104,B39)&gt;1,COUNTIF($C$5:$C$104,C39)&gt;1),"ID重复",IF(COUNTIF('水晶主数据'!$B$5:$B$54,D39)=0,"关联不存在",IF(OR(ISNA(MATCH(F39,'_枚举'!$D$2:$D$7,0)),AND(L39&lt;&gt;"",ISNA(MATCH(L39,'_枚举'!$E$2:$E$6,0))),ISNA(MATCH(M39,'_枚举'!$A$2:$A$4,0)),ISNA(MATCH(N39,'_枚举'!$B$2:$B$5,0)),ISNA(MATCH(P39,'_枚举'!$F$2:$F$5,0)),ISNA(MATCH(Y39,'_枚举'!$C$2:$C$3,0)),ISNA(MATCH(Z39,'_枚举'!$C$2:$C$3,0)),ISNA(MATCH(AA39,'_枚举'!$C$2:$C$3,0)),ISNA(MATCH(AD39,'_枚举'!$G$2:$G$3,0))),"枚举错误",IF(OR(AND(G39&lt;&gt;"",OR(NOT(ISNUMBER(G39)),G39&lt;=0)),AND(H39&lt;&gt;"",OR(NOT(ISNUMBER(H39)),H39&lt;=0)),AND(I39&lt;&gt;"",OR(NOT(ISNUMBER(I39)),I39&lt;=0)),AND(J39&lt;&gt;"",OR(NOT(ISNUMBER(J39)),J39&lt;=0)),AND(K39&lt;&gt;"",OR(NOT(ISNUMBER(K39)),K39&lt;=0)),NOT(ISNUMBER(Q39)),Q39&lt;=0,AND(R39&lt;&gt;"",OR(NOT(ISNUMBER(R39)),R39&lt;=0)),AND(S39&lt;&gt;"",OR(NOT(ISNUMBER(S39)),S39&lt;=0)),NOT(ISNUMBER(T39)),T39&lt;0,T39&gt;1,NOT(ISNUMBER(AE39)),AE39&lt;0,NOT(ISNUMBER(AF39)),AF39&lt;0,NOT(ISNUMBER(AG39)),AG39&lt;0,AND(AB39&lt;&gt;"",NOT(ISNUMBER(AB39)))),"格式错误",IF(AND(Z39="TRUE",OR(Y39&lt;&gt;"TRUE",M39="UNKNOWN")),"待人工复核","可导入")))))))</f>
        <v/>
      </c>
      <c r="B39" s="125" t="n"/>
      <c r="C39" s="125" t="n"/>
      <c r="D39" s="125" t="n"/>
      <c r="E39" s="125" t="n"/>
      <c r="F39" s="125" t="n"/>
      <c r="G39" s="126" t="n"/>
      <c r="H39" s="126" t="n"/>
      <c r="I39" s="126" t="n"/>
      <c r="J39" s="126" t="n"/>
      <c r="K39" s="125" t="n"/>
      <c r="L39" s="127" t="n"/>
      <c r="M39" s="127" t="n"/>
      <c r="N39" s="125" t="n"/>
      <c r="O39" s="125" t="n"/>
      <c r="P39" s="125" t="n"/>
      <c r="Q39" s="127" t="n"/>
      <c r="R39" s="125" t="n"/>
      <c r="S39" s="125" t="n"/>
      <c r="T39" s="128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7" t="n"/>
      <c r="AF39" s="127" t="n"/>
      <c r="AG39" s="127" t="n"/>
    </row>
    <row r="40">
      <c r="A40" s="118">
        <f>IF(COUNTA(B40:AG40)=0,"待填写",IF(OR(B40="",C40="",D40="",E40="",F40="",AND(G40="",H40="",I40="",J40=""),M40="",N40="",P40="",NOT(ISNUMBER(Q40)),NOT(ISNUMBER(T40)),U40="",X40="",Y40="",Z40="",AA40="",AD40="",NOT(ISNUMBER(AE40)),NOT(ISNUMBER(AF40)),NOT(ISNUMBER(AG40))),"请补全必填",IF(OR(COUNTIF($B$5:$B$104,B40)&gt;1,COUNTIF($C$5:$C$104,C40)&gt;1),"ID重复",IF(COUNTIF('水晶主数据'!$B$5:$B$54,D40)=0,"关联不存在",IF(OR(ISNA(MATCH(F40,'_枚举'!$D$2:$D$7,0)),AND(L40&lt;&gt;"",ISNA(MATCH(L40,'_枚举'!$E$2:$E$6,0))),ISNA(MATCH(M40,'_枚举'!$A$2:$A$4,0)),ISNA(MATCH(N40,'_枚举'!$B$2:$B$5,0)),ISNA(MATCH(P40,'_枚举'!$F$2:$F$5,0)),ISNA(MATCH(Y40,'_枚举'!$C$2:$C$3,0)),ISNA(MATCH(Z40,'_枚举'!$C$2:$C$3,0)),ISNA(MATCH(AA40,'_枚举'!$C$2:$C$3,0)),ISNA(MATCH(AD40,'_枚举'!$G$2:$G$3,0))),"枚举错误",IF(OR(AND(G40&lt;&gt;"",OR(NOT(ISNUMBER(G40)),G40&lt;=0)),AND(H40&lt;&gt;"",OR(NOT(ISNUMBER(H40)),H40&lt;=0)),AND(I40&lt;&gt;"",OR(NOT(ISNUMBER(I40)),I40&lt;=0)),AND(J40&lt;&gt;"",OR(NOT(ISNUMBER(J40)),J40&lt;=0)),AND(K40&lt;&gt;"",OR(NOT(ISNUMBER(K40)),K40&lt;=0)),NOT(ISNUMBER(Q40)),Q40&lt;=0,AND(R40&lt;&gt;"",OR(NOT(ISNUMBER(R40)),R40&lt;=0)),AND(S40&lt;&gt;"",OR(NOT(ISNUMBER(S40)),S40&lt;=0)),NOT(ISNUMBER(T40)),T40&lt;0,T40&gt;1,NOT(ISNUMBER(AE40)),AE40&lt;0,NOT(ISNUMBER(AF40)),AF40&lt;0,NOT(ISNUMBER(AG40)),AG40&lt;0,AND(AB40&lt;&gt;"",NOT(ISNUMBER(AB40)))),"格式错误",IF(AND(Z40="TRUE",OR(Y40&lt;&gt;"TRUE",M40="UNKNOWN")),"待人工复核","可导入")))))))</f>
        <v/>
      </c>
      <c r="B40" s="125" t="n"/>
      <c r="C40" s="125" t="n"/>
      <c r="D40" s="125" t="n"/>
      <c r="E40" s="125" t="n"/>
      <c r="F40" s="125" t="n"/>
      <c r="G40" s="126" t="n"/>
      <c r="H40" s="126" t="n"/>
      <c r="I40" s="126" t="n"/>
      <c r="J40" s="126" t="n"/>
      <c r="K40" s="125" t="n"/>
      <c r="L40" s="127" t="n"/>
      <c r="M40" s="127" t="n"/>
      <c r="N40" s="125" t="n"/>
      <c r="O40" s="125" t="n"/>
      <c r="P40" s="125" t="n"/>
      <c r="Q40" s="127" t="n"/>
      <c r="R40" s="125" t="n"/>
      <c r="S40" s="125" t="n"/>
      <c r="T40" s="128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7" t="n"/>
      <c r="AF40" s="127" t="n"/>
      <c r="AG40" s="127" t="n"/>
    </row>
    <row r="41">
      <c r="A41" s="118">
        <f>IF(COUNTA(B41:AG41)=0,"待填写",IF(OR(B41="",C41="",D41="",E41="",F41="",AND(G41="",H41="",I41="",J41=""),M41="",N41="",P41="",NOT(ISNUMBER(Q41)),NOT(ISNUMBER(T41)),U41="",X41="",Y41="",Z41="",AA41="",AD41="",NOT(ISNUMBER(AE41)),NOT(ISNUMBER(AF41)),NOT(ISNUMBER(AG41))),"请补全必填",IF(OR(COUNTIF($B$5:$B$104,B41)&gt;1,COUNTIF($C$5:$C$104,C41)&gt;1),"ID重复",IF(COUNTIF('水晶主数据'!$B$5:$B$54,D41)=0,"关联不存在",IF(OR(ISNA(MATCH(F41,'_枚举'!$D$2:$D$7,0)),AND(L41&lt;&gt;"",ISNA(MATCH(L41,'_枚举'!$E$2:$E$6,0))),ISNA(MATCH(M41,'_枚举'!$A$2:$A$4,0)),ISNA(MATCH(N41,'_枚举'!$B$2:$B$5,0)),ISNA(MATCH(P41,'_枚举'!$F$2:$F$5,0)),ISNA(MATCH(Y41,'_枚举'!$C$2:$C$3,0)),ISNA(MATCH(Z41,'_枚举'!$C$2:$C$3,0)),ISNA(MATCH(AA41,'_枚举'!$C$2:$C$3,0)),ISNA(MATCH(AD41,'_枚举'!$G$2:$G$3,0))),"枚举错误",IF(OR(AND(G41&lt;&gt;"",OR(NOT(ISNUMBER(G41)),G41&lt;=0)),AND(H41&lt;&gt;"",OR(NOT(ISNUMBER(H41)),H41&lt;=0)),AND(I41&lt;&gt;"",OR(NOT(ISNUMBER(I41)),I41&lt;=0)),AND(J41&lt;&gt;"",OR(NOT(ISNUMBER(J41)),J41&lt;=0)),AND(K41&lt;&gt;"",OR(NOT(ISNUMBER(K41)),K41&lt;=0)),NOT(ISNUMBER(Q41)),Q41&lt;=0,AND(R41&lt;&gt;"",OR(NOT(ISNUMBER(R41)),R41&lt;=0)),AND(S41&lt;&gt;"",OR(NOT(ISNUMBER(S41)),S41&lt;=0)),NOT(ISNUMBER(T41)),T41&lt;0,T41&gt;1,NOT(ISNUMBER(AE41)),AE41&lt;0,NOT(ISNUMBER(AF41)),AF41&lt;0,NOT(ISNUMBER(AG41)),AG41&lt;0,AND(AB41&lt;&gt;"",NOT(ISNUMBER(AB41)))),"格式错误",IF(AND(Z41="TRUE",OR(Y41&lt;&gt;"TRUE",M41="UNKNOWN")),"待人工复核","可导入")))))))</f>
        <v/>
      </c>
      <c r="B41" s="125" t="n"/>
      <c r="C41" s="125" t="n"/>
      <c r="D41" s="125" t="n"/>
      <c r="E41" s="125" t="n"/>
      <c r="F41" s="125" t="n"/>
      <c r="G41" s="126" t="n"/>
      <c r="H41" s="126" t="n"/>
      <c r="I41" s="126" t="n"/>
      <c r="J41" s="126" t="n"/>
      <c r="K41" s="125" t="n"/>
      <c r="L41" s="127" t="n"/>
      <c r="M41" s="127" t="n"/>
      <c r="N41" s="125" t="n"/>
      <c r="O41" s="125" t="n"/>
      <c r="P41" s="125" t="n"/>
      <c r="Q41" s="127" t="n"/>
      <c r="R41" s="125" t="n"/>
      <c r="S41" s="125" t="n"/>
      <c r="T41" s="128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7" t="n"/>
      <c r="AF41" s="127" t="n"/>
      <c r="AG41" s="127" t="n"/>
    </row>
    <row r="42">
      <c r="A42" s="118">
        <f>IF(COUNTA(B42:AG42)=0,"待填写",IF(OR(B42="",C42="",D42="",E42="",F42="",AND(G42="",H42="",I42="",J42=""),M42="",N42="",P42="",NOT(ISNUMBER(Q42)),NOT(ISNUMBER(T42)),U42="",X42="",Y42="",Z42="",AA42="",AD42="",NOT(ISNUMBER(AE42)),NOT(ISNUMBER(AF42)),NOT(ISNUMBER(AG42))),"请补全必填",IF(OR(COUNTIF($B$5:$B$104,B42)&gt;1,COUNTIF($C$5:$C$104,C42)&gt;1),"ID重复",IF(COUNTIF('水晶主数据'!$B$5:$B$54,D42)=0,"关联不存在",IF(OR(ISNA(MATCH(F42,'_枚举'!$D$2:$D$7,0)),AND(L42&lt;&gt;"",ISNA(MATCH(L42,'_枚举'!$E$2:$E$6,0))),ISNA(MATCH(M42,'_枚举'!$A$2:$A$4,0)),ISNA(MATCH(N42,'_枚举'!$B$2:$B$5,0)),ISNA(MATCH(P42,'_枚举'!$F$2:$F$5,0)),ISNA(MATCH(Y42,'_枚举'!$C$2:$C$3,0)),ISNA(MATCH(Z42,'_枚举'!$C$2:$C$3,0)),ISNA(MATCH(AA42,'_枚举'!$C$2:$C$3,0)),ISNA(MATCH(AD42,'_枚举'!$G$2:$G$3,0))),"枚举错误",IF(OR(AND(G42&lt;&gt;"",OR(NOT(ISNUMBER(G42)),G42&lt;=0)),AND(H42&lt;&gt;"",OR(NOT(ISNUMBER(H42)),H42&lt;=0)),AND(I42&lt;&gt;"",OR(NOT(ISNUMBER(I42)),I42&lt;=0)),AND(J42&lt;&gt;"",OR(NOT(ISNUMBER(J42)),J42&lt;=0)),AND(K42&lt;&gt;"",OR(NOT(ISNUMBER(K42)),K42&lt;=0)),NOT(ISNUMBER(Q42)),Q42&lt;=0,AND(R42&lt;&gt;"",OR(NOT(ISNUMBER(R42)),R42&lt;=0)),AND(S42&lt;&gt;"",OR(NOT(ISNUMBER(S42)),S42&lt;=0)),NOT(ISNUMBER(T42)),T42&lt;0,T42&gt;1,NOT(ISNUMBER(AE42)),AE42&lt;0,NOT(ISNUMBER(AF42)),AF42&lt;0,NOT(ISNUMBER(AG42)),AG42&lt;0,AND(AB42&lt;&gt;"",NOT(ISNUMBER(AB42)))),"格式错误",IF(AND(Z42="TRUE",OR(Y42&lt;&gt;"TRUE",M42="UNKNOWN")),"待人工复核","可导入")))))))</f>
        <v/>
      </c>
      <c r="B42" s="125" t="n"/>
      <c r="C42" s="125" t="n"/>
      <c r="D42" s="125" t="n"/>
      <c r="E42" s="125" t="n"/>
      <c r="F42" s="125" t="n"/>
      <c r="G42" s="126" t="n"/>
      <c r="H42" s="126" t="n"/>
      <c r="I42" s="126" t="n"/>
      <c r="J42" s="126" t="n"/>
      <c r="K42" s="125" t="n"/>
      <c r="L42" s="127" t="n"/>
      <c r="M42" s="127" t="n"/>
      <c r="N42" s="125" t="n"/>
      <c r="O42" s="125" t="n"/>
      <c r="P42" s="125" t="n"/>
      <c r="Q42" s="127" t="n"/>
      <c r="R42" s="125" t="n"/>
      <c r="S42" s="125" t="n"/>
      <c r="T42" s="128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7" t="n"/>
      <c r="AF42" s="127" t="n"/>
      <c r="AG42" s="127" t="n"/>
    </row>
    <row r="43">
      <c r="A43" s="118">
        <f>IF(COUNTA(B43:AG43)=0,"待填写",IF(OR(B43="",C43="",D43="",E43="",F43="",AND(G43="",H43="",I43="",J43=""),M43="",N43="",P43="",NOT(ISNUMBER(Q43)),NOT(ISNUMBER(T43)),U43="",X43="",Y43="",Z43="",AA43="",AD43="",NOT(ISNUMBER(AE43)),NOT(ISNUMBER(AF43)),NOT(ISNUMBER(AG43))),"请补全必填",IF(OR(COUNTIF($B$5:$B$104,B43)&gt;1,COUNTIF($C$5:$C$104,C43)&gt;1),"ID重复",IF(COUNTIF('水晶主数据'!$B$5:$B$54,D43)=0,"关联不存在",IF(OR(ISNA(MATCH(F43,'_枚举'!$D$2:$D$7,0)),AND(L43&lt;&gt;"",ISNA(MATCH(L43,'_枚举'!$E$2:$E$6,0))),ISNA(MATCH(M43,'_枚举'!$A$2:$A$4,0)),ISNA(MATCH(N43,'_枚举'!$B$2:$B$5,0)),ISNA(MATCH(P43,'_枚举'!$F$2:$F$5,0)),ISNA(MATCH(Y43,'_枚举'!$C$2:$C$3,0)),ISNA(MATCH(Z43,'_枚举'!$C$2:$C$3,0)),ISNA(MATCH(AA43,'_枚举'!$C$2:$C$3,0)),ISNA(MATCH(AD43,'_枚举'!$G$2:$G$3,0))),"枚举错误",IF(OR(AND(G43&lt;&gt;"",OR(NOT(ISNUMBER(G43)),G43&lt;=0)),AND(H43&lt;&gt;"",OR(NOT(ISNUMBER(H43)),H43&lt;=0)),AND(I43&lt;&gt;"",OR(NOT(ISNUMBER(I43)),I43&lt;=0)),AND(J43&lt;&gt;"",OR(NOT(ISNUMBER(J43)),J43&lt;=0)),AND(K43&lt;&gt;"",OR(NOT(ISNUMBER(K43)),K43&lt;=0)),NOT(ISNUMBER(Q43)),Q43&lt;=0,AND(R43&lt;&gt;"",OR(NOT(ISNUMBER(R43)),R43&lt;=0)),AND(S43&lt;&gt;"",OR(NOT(ISNUMBER(S43)),S43&lt;=0)),NOT(ISNUMBER(T43)),T43&lt;0,T43&gt;1,NOT(ISNUMBER(AE43)),AE43&lt;0,NOT(ISNUMBER(AF43)),AF43&lt;0,NOT(ISNUMBER(AG43)),AG43&lt;0,AND(AB43&lt;&gt;"",NOT(ISNUMBER(AB43)))),"格式错误",IF(AND(Z43="TRUE",OR(Y43&lt;&gt;"TRUE",M43="UNKNOWN")),"待人工复核","可导入")))))))</f>
        <v/>
      </c>
      <c r="B43" s="125" t="n"/>
      <c r="C43" s="125" t="n"/>
      <c r="D43" s="125" t="n"/>
      <c r="E43" s="125" t="n"/>
      <c r="F43" s="125" t="n"/>
      <c r="G43" s="126" t="n"/>
      <c r="H43" s="126" t="n"/>
      <c r="I43" s="126" t="n"/>
      <c r="J43" s="126" t="n"/>
      <c r="K43" s="125" t="n"/>
      <c r="L43" s="127" t="n"/>
      <c r="M43" s="127" t="n"/>
      <c r="N43" s="125" t="n"/>
      <c r="O43" s="125" t="n"/>
      <c r="P43" s="125" t="n"/>
      <c r="Q43" s="127" t="n"/>
      <c r="R43" s="125" t="n"/>
      <c r="S43" s="125" t="n"/>
      <c r="T43" s="128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7" t="n"/>
      <c r="AF43" s="127" t="n"/>
      <c r="AG43" s="127" t="n"/>
    </row>
    <row r="44">
      <c r="A44" s="118">
        <f>IF(COUNTA(B44:AG44)=0,"待填写",IF(OR(B44="",C44="",D44="",E44="",F44="",AND(G44="",H44="",I44="",J44=""),M44="",N44="",P44="",NOT(ISNUMBER(Q44)),NOT(ISNUMBER(T44)),U44="",X44="",Y44="",Z44="",AA44="",AD44="",NOT(ISNUMBER(AE44)),NOT(ISNUMBER(AF44)),NOT(ISNUMBER(AG44))),"请补全必填",IF(OR(COUNTIF($B$5:$B$104,B44)&gt;1,COUNTIF($C$5:$C$104,C44)&gt;1),"ID重复",IF(COUNTIF('水晶主数据'!$B$5:$B$54,D44)=0,"关联不存在",IF(OR(ISNA(MATCH(F44,'_枚举'!$D$2:$D$7,0)),AND(L44&lt;&gt;"",ISNA(MATCH(L44,'_枚举'!$E$2:$E$6,0))),ISNA(MATCH(M44,'_枚举'!$A$2:$A$4,0)),ISNA(MATCH(N44,'_枚举'!$B$2:$B$5,0)),ISNA(MATCH(P44,'_枚举'!$F$2:$F$5,0)),ISNA(MATCH(Y44,'_枚举'!$C$2:$C$3,0)),ISNA(MATCH(Z44,'_枚举'!$C$2:$C$3,0)),ISNA(MATCH(AA44,'_枚举'!$C$2:$C$3,0)),ISNA(MATCH(AD44,'_枚举'!$G$2:$G$3,0))),"枚举错误",IF(OR(AND(G44&lt;&gt;"",OR(NOT(ISNUMBER(G44)),G44&lt;=0)),AND(H44&lt;&gt;"",OR(NOT(ISNUMBER(H44)),H44&lt;=0)),AND(I44&lt;&gt;"",OR(NOT(ISNUMBER(I44)),I44&lt;=0)),AND(J44&lt;&gt;"",OR(NOT(ISNUMBER(J44)),J44&lt;=0)),AND(K44&lt;&gt;"",OR(NOT(ISNUMBER(K44)),K44&lt;=0)),NOT(ISNUMBER(Q44)),Q44&lt;=0,AND(R44&lt;&gt;"",OR(NOT(ISNUMBER(R44)),R44&lt;=0)),AND(S44&lt;&gt;"",OR(NOT(ISNUMBER(S44)),S44&lt;=0)),NOT(ISNUMBER(T44)),T44&lt;0,T44&gt;1,NOT(ISNUMBER(AE44)),AE44&lt;0,NOT(ISNUMBER(AF44)),AF44&lt;0,NOT(ISNUMBER(AG44)),AG44&lt;0,AND(AB44&lt;&gt;"",NOT(ISNUMBER(AB44)))),"格式错误",IF(AND(Z44="TRUE",OR(Y44&lt;&gt;"TRUE",M44="UNKNOWN")),"待人工复核","可导入")))))))</f>
        <v/>
      </c>
      <c r="B44" s="125" t="n"/>
      <c r="C44" s="125" t="n"/>
      <c r="D44" s="125" t="n"/>
      <c r="E44" s="125" t="n"/>
      <c r="F44" s="125" t="n"/>
      <c r="G44" s="126" t="n"/>
      <c r="H44" s="126" t="n"/>
      <c r="I44" s="126" t="n"/>
      <c r="J44" s="126" t="n"/>
      <c r="K44" s="125" t="n"/>
      <c r="L44" s="127" t="n"/>
      <c r="M44" s="127" t="n"/>
      <c r="N44" s="125" t="n"/>
      <c r="O44" s="125" t="n"/>
      <c r="P44" s="125" t="n"/>
      <c r="Q44" s="127" t="n"/>
      <c r="R44" s="125" t="n"/>
      <c r="S44" s="125" t="n"/>
      <c r="T44" s="128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7" t="n"/>
      <c r="AF44" s="127" t="n"/>
      <c r="AG44" s="127" t="n"/>
    </row>
    <row r="45">
      <c r="A45" s="118">
        <f>IF(COUNTA(B45:AG45)=0,"待填写",IF(OR(B45="",C45="",D45="",E45="",F45="",AND(G45="",H45="",I45="",J45=""),M45="",N45="",P45="",NOT(ISNUMBER(Q45)),NOT(ISNUMBER(T45)),U45="",X45="",Y45="",Z45="",AA45="",AD45="",NOT(ISNUMBER(AE45)),NOT(ISNUMBER(AF45)),NOT(ISNUMBER(AG45))),"请补全必填",IF(OR(COUNTIF($B$5:$B$104,B45)&gt;1,COUNTIF($C$5:$C$104,C45)&gt;1),"ID重复",IF(COUNTIF('水晶主数据'!$B$5:$B$54,D45)=0,"关联不存在",IF(OR(ISNA(MATCH(F45,'_枚举'!$D$2:$D$7,0)),AND(L45&lt;&gt;"",ISNA(MATCH(L45,'_枚举'!$E$2:$E$6,0))),ISNA(MATCH(M45,'_枚举'!$A$2:$A$4,0)),ISNA(MATCH(N45,'_枚举'!$B$2:$B$5,0)),ISNA(MATCH(P45,'_枚举'!$F$2:$F$5,0)),ISNA(MATCH(Y45,'_枚举'!$C$2:$C$3,0)),ISNA(MATCH(Z45,'_枚举'!$C$2:$C$3,0)),ISNA(MATCH(AA45,'_枚举'!$C$2:$C$3,0)),ISNA(MATCH(AD45,'_枚举'!$G$2:$G$3,0))),"枚举错误",IF(OR(AND(G45&lt;&gt;"",OR(NOT(ISNUMBER(G45)),G45&lt;=0)),AND(H45&lt;&gt;"",OR(NOT(ISNUMBER(H45)),H45&lt;=0)),AND(I45&lt;&gt;"",OR(NOT(ISNUMBER(I45)),I45&lt;=0)),AND(J45&lt;&gt;"",OR(NOT(ISNUMBER(J45)),J45&lt;=0)),AND(K45&lt;&gt;"",OR(NOT(ISNUMBER(K45)),K45&lt;=0)),NOT(ISNUMBER(Q45)),Q45&lt;=0,AND(R45&lt;&gt;"",OR(NOT(ISNUMBER(R45)),R45&lt;=0)),AND(S45&lt;&gt;"",OR(NOT(ISNUMBER(S45)),S45&lt;=0)),NOT(ISNUMBER(T45)),T45&lt;0,T45&gt;1,NOT(ISNUMBER(AE45)),AE45&lt;0,NOT(ISNUMBER(AF45)),AF45&lt;0,NOT(ISNUMBER(AG45)),AG45&lt;0,AND(AB45&lt;&gt;"",NOT(ISNUMBER(AB45)))),"格式错误",IF(AND(Z45="TRUE",OR(Y45&lt;&gt;"TRUE",M45="UNKNOWN")),"待人工复核","可导入")))))))</f>
        <v/>
      </c>
      <c r="B45" s="125" t="n"/>
      <c r="C45" s="125" t="n"/>
      <c r="D45" s="125" t="n"/>
      <c r="E45" s="125" t="n"/>
      <c r="F45" s="125" t="n"/>
      <c r="G45" s="126" t="n"/>
      <c r="H45" s="126" t="n"/>
      <c r="I45" s="126" t="n"/>
      <c r="J45" s="126" t="n"/>
      <c r="K45" s="125" t="n"/>
      <c r="L45" s="127" t="n"/>
      <c r="M45" s="127" t="n"/>
      <c r="N45" s="125" t="n"/>
      <c r="O45" s="125" t="n"/>
      <c r="P45" s="125" t="n"/>
      <c r="Q45" s="127" t="n"/>
      <c r="R45" s="125" t="n"/>
      <c r="S45" s="125" t="n"/>
      <c r="T45" s="128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7" t="n"/>
      <c r="AF45" s="127" t="n"/>
      <c r="AG45" s="127" t="n"/>
    </row>
    <row r="46">
      <c r="A46" s="118">
        <f>IF(COUNTA(B46:AG46)=0,"待填写",IF(OR(B46="",C46="",D46="",E46="",F46="",AND(G46="",H46="",I46="",J46=""),M46="",N46="",P46="",NOT(ISNUMBER(Q46)),NOT(ISNUMBER(T46)),U46="",X46="",Y46="",Z46="",AA46="",AD46="",NOT(ISNUMBER(AE46)),NOT(ISNUMBER(AF46)),NOT(ISNUMBER(AG46))),"请补全必填",IF(OR(COUNTIF($B$5:$B$104,B46)&gt;1,COUNTIF($C$5:$C$104,C46)&gt;1),"ID重复",IF(COUNTIF('水晶主数据'!$B$5:$B$54,D46)=0,"关联不存在",IF(OR(ISNA(MATCH(F46,'_枚举'!$D$2:$D$7,0)),AND(L46&lt;&gt;"",ISNA(MATCH(L46,'_枚举'!$E$2:$E$6,0))),ISNA(MATCH(M46,'_枚举'!$A$2:$A$4,0)),ISNA(MATCH(N46,'_枚举'!$B$2:$B$5,0)),ISNA(MATCH(P46,'_枚举'!$F$2:$F$5,0)),ISNA(MATCH(Y46,'_枚举'!$C$2:$C$3,0)),ISNA(MATCH(Z46,'_枚举'!$C$2:$C$3,0)),ISNA(MATCH(AA46,'_枚举'!$C$2:$C$3,0)),ISNA(MATCH(AD46,'_枚举'!$G$2:$G$3,0))),"枚举错误",IF(OR(AND(G46&lt;&gt;"",OR(NOT(ISNUMBER(G46)),G46&lt;=0)),AND(H46&lt;&gt;"",OR(NOT(ISNUMBER(H46)),H46&lt;=0)),AND(I46&lt;&gt;"",OR(NOT(ISNUMBER(I46)),I46&lt;=0)),AND(J46&lt;&gt;"",OR(NOT(ISNUMBER(J46)),J46&lt;=0)),AND(K46&lt;&gt;"",OR(NOT(ISNUMBER(K46)),K46&lt;=0)),NOT(ISNUMBER(Q46)),Q46&lt;=0,AND(R46&lt;&gt;"",OR(NOT(ISNUMBER(R46)),R46&lt;=0)),AND(S46&lt;&gt;"",OR(NOT(ISNUMBER(S46)),S46&lt;=0)),NOT(ISNUMBER(T46)),T46&lt;0,T46&gt;1,NOT(ISNUMBER(AE46)),AE46&lt;0,NOT(ISNUMBER(AF46)),AF46&lt;0,NOT(ISNUMBER(AG46)),AG46&lt;0,AND(AB46&lt;&gt;"",NOT(ISNUMBER(AB46)))),"格式错误",IF(AND(Z46="TRUE",OR(Y46&lt;&gt;"TRUE",M46="UNKNOWN")),"待人工复核","可导入")))))))</f>
        <v/>
      </c>
      <c r="B46" s="125" t="n"/>
      <c r="C46" s="125" t="n"/>
      <c r="D46" s="125" t="n"/>
      <c r="E46" s="125" t="n"/>
      <c r="F46" s="125" t="n"/>
      <c r="G46" s="126" t="n"/>
      <c r="H46" s="126" t="n"/>
      <c r="I46" s="126" t="n"/>
      <c r="J46" s="126" t="n"/>
      <c r="K46" s="125" t="n"/>
      <c r="L46" s="127" t="n"/>
      <c r="M46" s="127" t="n"/>
      <c r="N46" s="125" t="n"/>
      <c r="O46" s="125" t="n"/>
      <c r="P46" s="125" t="n"/>
      <c r="Q46" s="127" t="n"/>
      <c r="R46" s="125" t="n"/>
      <c r="S46" s="125" t="n"/>
      <c r="T46" s="128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7" t="n"/>
      <c r="AF46" s="127" t="n"/>
      <c r="AG46" s="127" t="n"/>
    </row>
    <row r="47">
      <c r="A47" s="118">
        <f>IF(COUNTA(B47:AG47)=0,"待填写",IF(OR(B47="",C47="",D47="",E47="",F47="",AND(G47="",H47="",I47="",J47=""),M47="",N47="",P47="",NOT(ISNUMBER(Q47)),NOT(ISNUMBER(T47)),U47="",X47="",Y47="",Z47="",AA47="",AD47="",NOT(ISNUMBER(AE47)),NOT(ISNUMBER(AF47)),NOT(ISNUMBER(AG47))),"请补全必填",IF(OR(COUNTIF($B$5:$B$104,B47)&gt;1,COUNTIF($C$5:$C$104,C47)&gt;1),"ID重复",IF(COUNTIF('水晶主数据'!$B$5:$B$54,D47)=0,"关联不存在",IF(OR(ISNA(MATCH(F47,'_枚举'!$D$2:$D$7,0)),AND(L47&lt;&gt;"",ISNA(MATCH(L47,'_枚举'!$E$2:$E$6,0))),ISNA(MATCH(M47,'_枚举'!$A$2:$A$4,0)),ISNA(MATCH(N47,'_枚举'!$B$2:$B$5,0)),ISNA(MATCH(P47,'_枚举'!$F$2:$F$5,0)),ISNA(MATCH(Y47,'_枚举'!$C$2:$C$3,0)),ISNA(MATCH(Z47,'_枚举'!$C$2:$C$3,0)),ISNA(MATCH(AA47,'_枚举'!$C$2:$C$3,0)),ISNA(MATCH(AD47,'_枚举'!$G$2:$G$3,0))),"枚举错误",IF(OR(AND(G47&lt;&gt;"",OR(NOT(ISNUMBER(G47)),G47&lt;=0)),AND(H47&lt;&gt;"",OR(NOT(ISNUMBER(H47)),H47&lt;=0)),AND(I47&lt;&gt;"",OR(NOT(ISNUMBER(I47)),I47&lt;=0)),AND(J47&lt;&gt;"",OR(NOT(ISNUMBER(J47)),J47&lt;=0)),AND(K47&lt;&gt;"",OR(NOT(ISNUMBER(K47)),K47&lt;=0)),NOT(ISNUMBER(Q47)),Q47&lt;=0,AND(R47&lt;&gt;"",OR(NOT(ISNUMBER(R47)),R47&lt;=0)),AND(S47&lt;&gt;"",OR(NOT(ISNUMBER(S47)),S47&lt;=0)),NOT(ISNUMBER(T47)),T47&lt;0,T47&gt;1,NOT(ISNUMBER(AE47)),AE47&lt;0,NOT(ISNUMBER(AF47)),AF47&lt;0,NOT(ISNUMBER(AG47)),AG47&lt;0,AND(AB47&lt;&gt;"",NOT(ISNUMBER(AB47)))),"格式错误",IF(AND(Z47="TRUE",OR(Y47&lt;&gt;"TRUE",M47="UNKNOWN")),"待人工复核","可导入")))))))</f>
        <v/>
      </c>
      <c r="B47" s="125" t="n"/>
      <c r="C47" s="125" t="n"/>
      <c r="D47" s="125" t="n"/>
      <c r="E47" s="125" t="n"/>
      <c r="F47" s="125" t="n"/>
      <c r="G47" s="126" t="n"/>
      <c r="H47" s="126" t="n"/>
      <c r="I47" s="126" t="n"/>
      <c r="J47" s="126" t="n"/>
      <c r="K47" s="125" t="n"/>
      <c r="L47" s="127" t="n"/>
      <c r="M47" s="127" t="n"/>
      <c r="N47" s="125" t="n"/>
      <c r="O47" s="125" t="n"/>
      <c r="P47" s="125" t="n"/>
      <c r="Q47" s="127" t="n"/>
      <c r="R47" s="125" t="n"/>
      <c r="S47" s="125" t="n"/>
      <c r="T47" s="128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7" t="n"/>
      <c r="AF47" s="127" t="n"/>
      <c r="AG47" s="127" t="n"/>
    </row>
    <row r="48">
      <c r="A48" s="118">
        <f>IF(COUNTA(B48:AG48)=0,"待填写",IF(OR(B48="",C48="",D48="",E48="",F48="",AND(G48="",H48="",I48="",J48=""),M48="",N48="",P48="",NOT(ISNUMBER(Q48)),NOT(ISNUMBER(T48)),U48="",X48="",Y48="",Z48="",AA48="",AD48="",NOT(ISNUMBER(AE48)),NOT(ISNUMBER(AF48)),NOT(ISNUMBER(AG48))),"请补全必填",IF(OR(COUNTIF($B$5:$B$104,B48)&gt;1,COUNTIF($C$5:$C$104,C48)&gt;1),"ID重复",IF(COUNTIF('水晶主数据'!$B$5:$B$54,D48)=0,"关联不存在",IF(OR(ISNA(MATCH(F48,'_枚举'!$D$2:$D$7,0)),AND(L48&lt;&gt;"",ISNA(MATCH(L48,'_枚举'!$E$2:$E$6,0))),ISNA(MATCH(M48,'_枚举'!$A$2:$A$4,0)),ISNA(MATCH(N48,'_枚举'!$B$2:$B$5,0)),ISNA(MATCH(P48,'_枚举'!$F$2:$F$5,0)),ISNA(MATCH(Y48,'_枚举'!$C$2:$C$3,0)),ISNA(MATCH(Z48,'_枚举'!$C$2:$C$3,0)),ISNA(MATCH(AA48,'_枚举'!$C$2:$C$3,0)),ISNA(MATCH(AD48,'_枚举'!$G$2:$G$3,0))),"枚举错误",IF(OR(AND(G48&lt;&gt;"",OR(NOT(ISNUMBER(G48)),G48&lt;=0)),AND(H48&lt;&gt;"",OR(NOT(ISNUMBER(H48)),H48&lt;=0)),AND(I48&lt;&gt;"",OR(NOT(ISNUMBER(I48)),I48&lt;=0)),AND(J48&lt;&gt;"",OR(NOT(ISNUMBER(J48)),J48&lt;=0)),AND(K48&lt;&gt;"",OR(NOT(ISNUMBER(K48)),K48&lt;=0)),NOT(ISNUMBER(Q48)),Q48&lt;=0,AND(R48&lt;&gt;"",OR(NOT(ISNUMBER(R48)),R48&lt;=0)),AND(S48&lt;&gt;"",OR(NOT(ISNUMBER(S48)),S48&lt;=0)),NOT(ISNUMBER(T48)),T48&lt;0,T48&gt;1,NOT(ISNUMBER(AE48)),AE48&lt;0,NOT(ISNUMBER(AF48)),AF48&lt;0,NOT(ISNUMBER(AG48)),AG48&lt;0,AND(AB48&lt;&gt;"",NOT(ISNUMBER(AB48)))),"格式错误",IF(AND(Z48="TRUE",OR(Y48&lt;&gt;"TRUE",M48="UNKNOWN")),"待人工复核","可导入")))))))</f>
        <v/>
      </c>
      <c r="B48" s="125" t="n"/>
      <c r="C48" s="125" t="n"/>
      <c r="D48" s="125" t="n"/>
      <c r="E48" s="125" t="n"/>
      <c r="F48" s="125" t="n"/>
      <c r="G48" s="126" t="n"/>
      <c r="H48" s="126" t="n"/>
      <c r="I48" s="126" t="n"/>
      <c r="J48" s="126" t="n"/>
      <c r="K48" s="125" t="n"/>
      <c r="L48" s="127" t="n"/>
      <c r="M48" s="127" t="n"/>
      <c r="N48" s="125" t="n"/>
      <c r="O48" s="125" t="n"/>
      <c r="P48" s="125" t="n"/>
      <c r="Q48" s="127" t="n"/>
      <c r="R48" s="125" t="n"/>
      <c r="S48" s="125" t="n"/>
      <c r="T48" s="128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7" t="n"/>
      <c r="AF48" s="127" t="n"/>
      <c r="AG48" s="127" t="n"/>
    </row>
    <row r="49">
      <c r="A49" s="118">
        <f>IF(COUNTA(B49:AG49)=0,"待填写",IF(OR(B49="",C49="",D49="",E49="",F49="",AND(G49="",H49="",I49="",J49=""),M49="",N49="",P49="",NOT(ISNUMBER(Q49)),NOT(ISNUMBER(T49)),U49="",X49="",Y49="",Z49="",AA49="",AD49="",NOT(ISNUMBER(AE49)),NOT(ISNUMBER(AF49)),NOT(ISNUMBER(AG49))),"请补全必填",IF(OR(COUNTIF($B$5:$B$104,B49)&gt;1,COUNTIF($C$5:$C$104,C49)&gt;1),"ID重复",IF(COUNTIF('水晶主数据'!$B$5:$B$54,D49)=0,"关联不存在",IF(OR(ISNA(MATCH(F49,'_枚举'!$D$2:$D$7,0)),AND(L49&lt;&gt;"",ISNA(MATCH(L49,'_枚举'!$E$2:$E$6,0))),ISNA(MATCH(M49,'_枚举'!$A$2:$A$4,0)),ISNA(MATCH(N49,'_枚举'!$B$2:$B$5,0)),ISNA(MATCH(P49,'_枚举'!$F$2:$F$5,0)),ISNA(MATCH(Y49,'_枚举'!$C$2:$C$3,0)),ISNA(MATCH(Z49,'_枚举'!$C$2:$C$3,0)),ISNA(MATCH(AA49,'_枚举'!$C$2:$C$3,0)),ISNA(MATCH(AD49,'_枚举'!$G$2:$G$3,0))),"枚举错误",IF(OR(AND(G49&lt;&gt;"",OR(NOT(ISNUMBER(G49)),G49&lt;=0)),AND(H49&lt;&gt;"",OR(NOT(ISNUMBER(H49)),H49&lt;=0)),AND(I49&lt;&gt;"",OR(NOT(ISNUMBER(I49)),I49&lt;=0)),AND(J49&lt;&gt;"",OR(NOT(ISNUMBER(J49)),J49&lt;=0)),AND(K49&lt;&gt;"",OR(NOT(ISNUMBER(K49)),K49&lt;=0)),NOT(ISNUMBER(Q49)),Q49&lt;=0,AND(R49&lt;&gt;"",OR(NOT(ISNUMBER(R49)),R49&lt;=0)),AND(S49&lt;&gt;"",OR(NOT(ISNUMBER(S49)),S49&lt;=0)),NOT(ISNUMBER(T49)),T49&lt;0,T49&gt;1,NOT(ISNUMBER(AE49)),AE49&lt;0,NOT(ISNUMBER(AF49)),AF49&lt;0,NOT(ISNUMBER(AG49)),AG49&lt;0,AND(AB49&lt;&gt;"",NOT(ISNUMBER(AB49)))),"格式错误",IF(AND(Z49="TRUE",OR(Y49&lt;&gt;"TRUE",M49="UNKNOWN")),"待人工复核","可导入")))))))</f>
        <v/>
      </c>
      <c r="B49" s="125" t="n"/>
      <c r="C49" s="125" t="n"/>
      <c r="D49" s="125" t="n"/>
      <c r="E49" s="125" t="n"/>
      <c r="F49" s="125" t="n"/>
      <c r="G49" s="126" t="n"/>
      <c r="H49" s="126" t="n"/>
      <c r="I49" s="126" t="n"/>
      <c r="J49" s="126" t="n"/>
      <c r="K49" s="125" t="n"/>
      <c r="L49" s="127" t="n"/>
      <c r="M49" s="127" t="n"/>
      <c r="N49" s="125" t="n"/>
      <c r="O49" s="125" t="n"/>
      <c r="P49" s="125" t="n"/>
      <c r="Q49" s="127" t="n"/>
      <c r="R49" s="125" t="n"/>
      <c r="S49" s="125" t="n"/>
      <c r="T49" s="128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7" t="n"/>
      <c r="AF49" s="127" t="n"/>
      <c r="AG49" s="127" t="n"/>
    </row>
    <row r="50">
      <c r="A50" s="118">
        <f>IF(COUNTA(B50:AG50)=0,"待填写",IF(OR(B50="",C50="",D50="",E50="",F50="",AND(G50="",H50="",I50="",J50=""),M50="",N50="",P50="",NOT(ISNUMBER(Q50)),NOT(ISNUMBER(T50)),U50="",X50="",Y50="",Z50="",AA50="",AD50="",NOT(ISNUMBER(AE50)),NOT(ISNUMBER(AF50)),NOT(ISNUMBER(AG50))),"请补全必填",IF(OR(COUNTIF($B$5:$B$104,B50)&gt;1,COUNTIF($C$5:$C$104,C50)&gt;1),"ID重复",IF(COUNTIF('水晶主数据'!$B$5:$B$54,D50)=0,"关联不存在",IF(OR(ISNA(MATCH(F50,'_枚举'!$D$2:$D$7,0)),AND(L50&lt;&gt;"",ISNA(MATCH(L50,'_枚举'!$E$2:$E$6,0))),ISNA(MATCH(M50,'_枚举'!$A$2:$A$4,0)),ISNA(MATCH(N50,'_枚举'!$B$2:$B$5,0)),ISNA(MATCH(P50,'_枚举'!$F$2:$F$5,0)),ISNA(MATCH(Y50,'_枚举'!$C$2:$C$3,0)),ISNA(MATCH(Z50,'_枚举'!$C$2:$C$3,0)),ISNA(MATCH(AA50,'_枚举'!$C$2:$C$3,0)),ISNA(MATCH(AD50,'_枚举'!$G$2:$G$3,0))),"枚举错误",IF(OR(AND(G50&lt;&gt;"",OR(NOT(ISNUMBER(G50)),G50&lt;=0)),AND(H50&lt;&gt;"",OR(NOT(ISNUMBER(H50)),H50&lt;=0)),AND(I50&lt;&gt;"",OR(NOT(ISNUMBER(I50)),I50&lt;=0)),AND(J50&lt;&gt;"",OR(NOT(ISNUMBER(J50)),J50&lt;=0)),AND(K50&lt;&gt;"",OR(NOT(ISNUMBER(K50)),K50&lt;=0)),NOT(ISNUMBER(Q50)),Q50&lt;=0,AND(R50&lt;&gt;"",OR(NOT(ISNUMBER(R50)),R50&lt;=0)),AND(S50&lt;&gt;"",OR(NOT(ISNUMBER(S50)),S50&lt;=0)),NOT(ISNUMBER(T50)),T50&lt;0,T50&gt;1,NOT(ISNUMBER(AE50)),AE50&lt;0,NOT(ISNUMBER(AF50)),AF50&lt;0,NOT(ISNUMBER(AG50)),AG50&lt;0,AND(AB50&lt;&gt;"",NOT(ISNUMBER(AB50)))),"格式错误",IF(AND(Z50="TRUE",OR(Y50&lt;&gt;"TRUE",M50="UNKNOWN")),"待人工复核","可导入")))))))</f>
        <v/>
      </c>
      <c r="B50" s="125" t="n"/>
      <c r="C50" s="125" t="n"/>
      <c r="D50" s="125" t="n"/>
      <c r="E50" s="125" t="n"/>
      <c r="F50" s="125" t="n"/>
      <c r="G50" s="126" t="n"/>
      <c r="H50" s="126" t="n"/>
      <c r="I50" s="126" t="n"/>
      <c r="J50" s="126" t="n"/>
      <c r="K50" s="125" t="n"/>
      <c r="L50" s="127" t="n"/>
      <c r="M50" s="127" t="n"/>
      <c r="N50" s="125" t="n"/>
      <c r="O50" s="125" t="n"/>
      <c r="P50" s="125" t="n"/>
      <c r="Q50" s="127" t="n"/>
      <c r="R50" s="125" t="n"/>
      <c r="S50" s="125" t="n"/>
      <c r="T50" s="128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7" t="n"/>
      <c r="AF50" s="127" t="n"/>
      <c r="AG50" s="127" t="n"/>
    </row>
    <row r="51">
      <c r="A51" s="118">
        <f>IF(COUNTA(B51:AG51)=0,"待填写",IF(OR(B51="",C51="",D51="",E51="",F51="",AND(G51="",H51="",I51="",J51=""),M51="",N51="",P51="",NOT(ISNUMBER(Q51)),NOT(ISNUMBER(T51)),U51="",X51="",Y51="",Z51="",AA51="",AD51="",NOT(ISNUMBER(AE51)),NOT(ISNUMBER(AF51)),NOT(ISNUMBER(AG51))),"请补全必填",IF(OR(COUNTIF($B$5:$B$104,B51)&gt;1,COUNTIF($C$5:$C$104,C51)&gt;1),"ID重复",IF(COUNTIF('水晶主数据'!$B$5:$B$54,D51)=0,"关联不存在",IF(OR(ISNA(MATCH(F51,'_枚举'!$D$2:$D$7,0)),AND(L51&lt;&gt;"",ISNA(MATCH(L51,'_枚举'!$E$2:$E$6,0))),ISNA(MATCH(M51,'_枚举'!$A$2:$A$4,0)),ISNA(MATCH(N51,'_枚举'!$B$2:$B$5,0)),ISNA(MATCH(P51,'_枚举'!$F$2:$F$5,0)),ISNA(MATCH(Y51,'_枚举'!$C$2:$C$3,0)),ISNA(MATCH(Z51,'_枚举'!$C$2:$C$3,0)),ISNA(MATCH(AA51,'_枚举'!$C$2:$C$3,0)),ISNA(MATCH(AD51,'_枚举'!$G$2:$G$3,0))),"枚举错误",IF(OR(AND(G51&lt;&gt;"",OR(NOT(ISNUMBER(G51)),G51&lt;=0)),AND(H51&lt;&gt;"",OR(NOT(ISNUMBER(H51)),H51&lt;=0)),AND(I51&lt;&gt;"",OR(NOT(ISNUMBER(I51)),I51&lt;=0)),AND(J51&lt;&gt;"",OR(NOT(ISNUMBER(J51)),J51&lt;=0)),AND(K51&lt;&gt;"",OR(NOT(ISNUMBER(K51)),K51&lt;=0)),NOT(ISNUMBER(Q51)),Q51&lt;=0,AND(R51&lt;&gt;"",OR(NOT(ISNUMBER(R51)),R51&lt;=0)),AND(S51&lt;&gt;"",OR(NOT(ISNUMBER(S51)),S51&lt;=0)),NOT(ISNUMBER(T51)),T51&lt;0,T51&gt;1,NOT(ISNUMBER(AE51)),AE51&lt;0,NOT(ISNUMBER(AF51)),AF51&lt;0,NOT(ISNUMBER(AG51)),AG51&lt;0,AND(AB51&lt;&gt;"",NOT(ISNUMBER(AB51)))),"格式错误",IF(AND(Z51="TRUE",OR(Y51&lt;&gt;"TRUE",M51="UNKNOWN")),"待人工复核","可导入")))))))</f>
        <v/>
      </c>
      <c r="B51" s="125" t="n"/>
      <c r="C51" s="125" t="n"/>
      <c r="D51" s="125" t="n"/>
      <c r="E51" s="125" t="n"/>
      <c r="F51" s="125" t="n"/>
      <c r="G51" s="126" t="n"/>
      <c r="H51" s="126" t="n"/>
      <c r="I51" s="126" t="n"/>
      <c r="J51" s="126" t="n"/>
      <c r="K51" s="125" t="n"/>
      <c r="L51" s="127" t="n"/>
      <c r="M51" s="127" t="n"/>
      <c r="N51" s="125" t="n"/>
      <c r="O51" s="125" t="n"/>
      <c r="P51" s="125" t="n"/>
      <c r="Q51" s="127" t="n"/>
      <c r="R51" s="125" t="n"/>
      <c r="S51" s="125" t="n"/>
      <c r="T51" s="128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7" t="n"/>
      <c r="AF51" s="127" t="n"/>
      <c r="AG51" s="127" t="n"/>
    </row>
    <row r="52">
      <c r="A52" s="118">
        <f>IF(COUNTA(B52:AG52)=0,"待填写",IF(OR(B52="",C52="",D52="",E52="",F52="",AND(G52="",H52="",I52="",J52=""),M52="",N52="",P52="",NOT(ISNUMBER(Q52)),NOT(ISNUMBER(T52)),U52="",X52="",Y52="",Z52="",AA52="",AD52="",NOT(ISNUMBER(AE52)),NOT(ISNUMBER(AF52)),NOT(ISNUMBER(AG52))),"请补全必填",IF(OR(COUNTIF($B$5:$B$104,B52)&gt;1,COUNTIF($C$5:$C$104,C52)&gt;1),"ID重复",IF(COUNTIF('水晶主数据'!$B$5:$B$54,D52)=0,"关联不存在",IF(OR(ISNA(MATCH(F52,'_枚举'!$D$2:$D$7,0)),AND(L52&lt;&gt;"",ISNA(MATCH(L52,'_枚举'!$E$2:$E$6,0))),ISNA(MATCH(M52,'_枚举'!$A$2:$A$4,0)),ISNA(MATCH(N52,'_枚举'!$B$2:$B$5,0)),ISNA(MATCH(P52,'_枚举'!$F$2:$F$5,0)),ISNA(MATCH(Y52,'_枚举'!$C$2:$C$3,0)),ISNA(MATCH(Z52,'_枚举'!$C$2:$C$3,0)),ISNA(MATCH(AA52,'_枚举'!$C$2:$C$3,0)),ISNA(MATCH(AD52,'_枚举'!$G$2:$G$3,0))),"枚举错误",IF(OR(AND(G52&lt;&gt;"",OR(NOT(ISNUMBER(G52)),G52&lt;=0)),AND(H52&lt;&gt;"",OR(NOT(ISNUMBER(H52)),H52&lt;=0)),AND(I52&lt;&gt;"",OR(NOT(ISNUMBER(I52)),I52&lt;=0)),AND(J52&lt;&gt;"",OR(NOT(ISNUMBER(J52)),J52&lt;=0)),AND(K52&lt;&gt;"",OR(NOT(ISNUMBER(K52)),K52&lt;=0)),NOT(ISNUMBER(Q52)),Q52&lt;=0,AND(R52&lt;&gt;"",OR(NOT(ISNUMBER(R52)),R52&lt;=0)),AND(S52&lt;&gt;"",OR(NOT(ISNUMBER(S52)),S52&lt;=0)),NOT(ISNUMBER(T52)),T52&lt;0,T52&gt;1,NOT(ISNUMBER(AE52)),AE52&lt;0,NOT(ISNUMBER(AF52)),AF52&lt;0,NOT(ISNUMBER(AG52)),AG52&lt;0,AND(AB52&lt;&gt;"",NOT(ISNUMBER(AB52)))),"格式错误",IF(AND(Z52="TRUE",OR(Y52&lt;&gt;"TRUE",M52="UNKNOWN")),"待人工复核","可导入")))))))</f>
        <v/>
      </c>
      <c r="B52" s="125" t="n"/>
      <c r="C52" s="125" t="n"/>
      <c r="D52" s="125" t="n"/>
      <c r="E52" s="125" t="n"/>
      <c r="F52" s="125" t="n"/>
      <c r="G52" s="126" t="n"/>
      <c r="H52" s="126" t="n"/>
      <c r="I52" s="126" t="n"/>
      <c r="J52" s="126" t="n"/>
      <c r="K52" s="125" t="n"/>
      <c r="L52" s="127" t="n"/>
      <c r="M52" s="127" t="n"/>
      <c r="N52" s="125" t="n"/>
      <c r="O52" s="125" t="n"/>
      <c r="P52" s="125" t="n"/>
      <c r="Q52" s="127" t="n"/>
      <c r="R52" s="125" t="n"/>
      <c r="S52" s="125" t="n"/>
      <c r="T52" s="128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7" t="n"/>
      <c r="AF52" s="127" t="n"/>
      <c r="AG52" s="127" t="n"/>
    </row>
    <row r="53">
      <c r="A53" s="118">
        <f>IF(COUNTA(B53:AG53)=0,"待填写",IF(OR(B53="",C53="",D53="",E53="",F53="",AND(G53="",H53="",I53="",J53=""),M53="",N53="",P53="",NOT(ISNUMBER(Q53)),NOT(ISNUMBER(T53)),U53="",X53="",Y53="",Z53="",AA53="",AD53="",NOT(ISNUMBER(AE53)),NOT(ISNUMBER(AF53)),NOT(ISNUMBER(AG53))),"请补全必填",IF(OR(COUNTIF($B$5:$B$104,B53)&gt;1,COUNTIF($C$5:$C$104,C53)&gt;1),"ID重复",IF(COUNTIF('水晶主数据'!$B$5:$B$54,D53)=0,"关联不存在",IF(OR(ISNA(MATCH(F53,'_枚举'!$D$2:$D$7,0)),AND(L53&lt;&gt;"",ISNA(MATCH(L53,'_枚举'!$E$2:$E$6,0))),ISNA(MATCH(M53,'_枚举'!$A$2:$A$4,0)),ISNA(MATCH(N53,'_枚举'!$B$2:$B$5,0)),ISNA(MATCH(P53,'_枚举'!$F$2:$F$5,0)),ISNA(MATCH(Y53,'_枚举'!$C$2:$C$3,0)),ISNA(MATCH(Z53,'_枚举'!$C$2:$C$3,0)),ISNA(MATCH(AA53,'_枚举'!$C$2:$C$3,0)),ISNA(MATCH(AD53,'_枚举'!$G$2:$G$3,0))),"枚举错误",IF(OR(AND(G53&lt;&gt;"",OR(NOT(ISNUMBER(G53)),G53&lt;=0)),AND(H53&lt;&gt;"",OR(NOT(ISNUMBER(H53)),H53&lt;=0)),AND(I53&lt;&gt;"",OR(NOT(ISNUMBER(I53)),I53&lt;=0)),AND(J53&lt;&gt;"",OR(NOT(ISNUMBER(J53)),J53&lt;=0)),AND(K53&lt;&gt;"",OR(NOT(ISNUMBER(K53)),K53&lt;=0)),NOT(ISNUMBER(Q53)),Q53&lt;=0,AND(R53&lt;&gt;"",OR(NOT(ISNUMBER(R53)),R53&lt;=0)),AND(S53&lt;&gt;"",OR(NOT(ISNUMBER(S53)),S53&lt;=0)),NOT(ISNUMBER(T53)),T53&lt;0,T53&gt;1,NOT(ISNUMBER(AE53)),AE53&lt;0,NOT(ISNUMBER(AF53)),AF53&lt;0,NOT(ISNUMBER(AG53)),AG53&lt;0,AND(AB53&lt;&gt;"",NOT(ISNUMBER(AB53)))),"格式错误",IF(AND(Z53="TRUE",OR(Y53&lt;&gt;"TRUE",M53="UNKNOWN")),"待人工复核","可导入")))))))</f>
        <v/>
      </c>
      <c r="B53" s="125" t="n"/>
      <c r="C53" s="125" t="n"/>
      <c r="D53" s="125" t="n"/>
      <c r="E53" s="125" t="n"/>
      <c r="F53" s="125" t="n"/>
      <c r="G53" s="126" t="n"/>
      <c r="H53" s="126" t="n"/>
      <c r="I53" s="126" t="n"/>
      <c r="J53" s="126" t="n"/>
      <c r="K53" s="125" t="n"/>
      <c r="L53" s="127" t="n"/>
      <c r="M53" s="127" t="n"/>
      <c r="N53" s="125" t="n"/>
      <c r="O53" s="125" t="n"/>
      <c r="P53" s="125" t="n"/>
      <c r="Q53" s="127" t="n"/>
      <c r="R53" s="125" t="n"/>
      <c r="S53" s="125" t="n"/>
      <c r="T53" s="128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7" t="n"/>
      <c r="AF53" s="127" t="n"/>
      <c r="AG53" s="127" t="n"/>
    </row>
    <row r="54">
      <c r="A54" s="118">
        <f>IF(COUNTA(B54:AG54)=0,"待填写",IF(OR(B54="",C54="",D54="",E54="",F54="",AND(G54="",H54="",I54="",J54=""),M54="",N54="",P54="",NOT(ISNUMBER(Q54)),NOT(ISNUMBER(T54)),U54="",X54="",Y54="",Z54="",AA54="",AD54="",NOT(ISNUMBER(AE54)),NOT(ISNUMBER(AF54)),NOT(ISNUMBER(AG54))),"请补全必填",IF(OR(COUNTIF($B$5:$B$104,B54)&gt;1,COUNTIF($C$5:$C$104,C54)&gt;1),"ID重复",IF(COUNTIF('水晶主数据'!$B$5:$B$54,D54)=0,"关联不存在",IF(OR(ISNA(MATCH(F54,'_枚举'!$D$2:$D$7,0)),AND(L54&lt;&gt;"",ISNA(MATCH(L54,'_枚举'!$E$2:$E$6,0))),ISNA(MATCH(M54,'_枚举'!$A$2:$A$4,0)),ISNA(MATCH(N54,'_枚举'!$B$2:$B$5,0)),ISNA(MATCH(P54,'_枚举'!$F$2:$F$5,0)),ISNA(MATCH(Y54,'_枚举'!$C$2:$C$3,0)),ISNA(MATCH(Z54,'_枚举'!$C$2:$C$3,0)),ISNA(MATCH(AA54,'_枚举'!$C$2:$C$3,0)),ISNA(MATCH(AD54,'_枚举'!$G$2:$G$3,0))),"枚举错误",IF(OR(AND(G54&lt;&gt;"",OR(NOT(ISNUMBER(G54)),G54&lt;=0)),AND(H54&lt;&gt;"",OR(NOT(ISNUMBER(H54)),H54&lt;=0)),AND(I54&lt;&gt;"",OR(NOT(ISNUMBER(I54)),I54&lt;=0)),AND(J54&lt;&gt;"",OR(NOT(ISNUMBER(J54)),J54&lt;=0)),AND(K54&lt;&gt;"",OR(NOT(ISNUMBER(K54)),K54&lt;=0)),NOT(ISNUMBER(Q54)),Q54&lt;=0,AND(R54&lt;&gt;"",OR(NOT(ISNUMBER(R54)),R54&lt;=0)),AND(S54&lt;&gt;"",OR(NOT(ISNUMBER(S54)),S54&lt;=0)),NOT(ISNUMBER(T54)),T54&lt;0,T54&gt;1,NOT(ISNUMBER(AE54)),AE54&lt;0,NOT(ISNUMBER(AF54)),AF54&lt;0,NOT(ISNUMBER(AG54)),AG54&lt;0,AND(AB54&lt;&gt;"",NOT(ISNUMBER(AB54)))),"格式错误",IF(AND(Z54="TRUE",OR(Y54&lt;&gt;"TRUE",M54="UNKNOWN")),"待人工复核","可导入")))))))</f>
        <v/>
      </c>
      <c r="B54" s="125" t="n"/>
      <c r="C54" s="125" t="n"/>
      <c r="D54" s="125" t="n"/>
      <c r="E54" s="125" t="n"/>
      <c r="F54" s="125" t="n"/>
      <c r="G54" s="126" t="n"/>
      <c r="H54" s="126" t="n"/>
      <c r="I54" s="126" t="n"/>
      <c r="J54" s="126" t="n"/>
      <c r="K54" s="125" t="n"/>
      <c r="L54" s="127" t="n"/>
      <c r="M54" s="127" t="n"/>
      <c r="N54" s="125" t="n"/>
      <c r="O54" s="125" t="n"/>
      <c r="P54" s="125" t="n"/>
      <c r="Q54" s="127" t="n"/>
      <c r="R54" s="125" t="n"/>
      <c r="S54" s="125" t="n"/>
      <c r="T54" s="128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7" t="n"/>
      <c r="AF54" s="127" t="n"/>
      <c r="AG54" s="127" t="n"/>
    </row>
    <row r="55">
      <c r="A55" s="118">
        <f>IF(COUNTA(B55:AG55)=0,"待填写",IF(OR(B55="",C55="",D55="",E55="",F55="",AND(G55="",H55="",I55="",J55=""),M55="",N55="",P55="",NOT(ISNUMBER(Q55)),NOT(ISNUMBER(T55)),U55="",X55="",Y55="",Z55="",AA55="",AD55="",NOT(ISNUMBER(AE55)),NOT(ISNUMBER(AF55)),NOT(ISNUMBER(AG55))),"请补全必填",IF(OR(COUNTIF($B$5:$B$104,B55)&gt;1,COUNTIF($C$5:$C$104,C55)&gt;1),"ID重复",IF(COUNTIF('水晶主数据'!$B$5:$B$54,D55)=0,"关联不存在",IF(OR(ISNA(MATCH(F55,'_枚举'!$D$2:$D$7,0)),AND(L55&lt;&gt;"",ISNA(MATCH(L55,'_枚举'!$E$2:$E$6,0))),ISNA(MATCH(M55,'_枚举'!$A$2:$A$4,0)),ISNA(MATCH(N55,'_枚举'!$B$2:$B$5,0)),ISNA(MATCH(P55,'_枚举'!$F$2:$F$5,0)),ISNA(MATCH(Y55,'_枚举'!$C$2:$C$3,0)),ISNA(MATCH(Z55,'_枚举'!$C$2:$C$3,0)),ISNA(MATCH(AA55,'_枚举'!$C$2:$C$3,0)),ISNA(MATCH(AD55,'_枚举'!$G$2:$G$3,0))),"枚举错误",IF(OR(AND(G55&lt;&gt;"",OR(NOT(ISNUMBER(G55)),G55&lt;=0)),AND(H55&lt;&gt;"",OR(NOT(ISNUMBER(H55)),H55&lt;=0)),AND(I55&lt;&gt;"",OR(NOT(ISNUMBER(I55)),I55&lt;=0)),AND(J55&lt;&gt;"",OR(NOT(ISNUMBER(J55)),J55&lt;=0)),AND(K55&lt;&gt;"",OR(NOT(ISNUMBER(K55)),K55&lt;=0)),NOT(ISNUMBER(Q55)),Q55&lt;=0,AND(R55&lt;&gt;"",OR(NOT(ISNUMBER(R55)),R55&lt;=0)),AND(S55&lt;&gt;"",OR(NOT(ISNUMBER(S55)),S55&lt;=0)),NOT(ISNUMBER(T55)),T55&lt;0,T55&gt;1,NOT(ISNUMBER(AE55)),AE55&lt;0,NOT(ISNUMBER(AF55)),AF55&lt;0,NOT(ISNUMBER(AG55)),AG55&lt;0,AND(AB55&lt;&gt;"",NOT(ISNUMBER(AB55)))),"格式错误",IF(AND(Z55="TRUE",OR(Y55&lt;&gt;"TRUE",M55="UNKNOWN")),"待人工复核","可导入")))))))</f>
        <v/>
      </c>
      <c r="B55" s="125" t="n"/>
      <c r="C55" s="125" t="n"/>
      <c r="D55" s="125" t="n"/>
      <c r="E55" s="125" t="n"/>
      <c r="F55" s="125" t="n"/>
      <c r="G55" s="126" t="n"/>
      <c r="H55" s="126" t="n"/>
      <c r="I55" s="126" t="n"/>
      <c r="J55" s="126" t="n"/>
      <c r="K55" s="125" t="n"/>
      <c r="L55" s="127" t="n"/>
      <c r="M55" s="127" t="n"/>
      <c r="N55" s="125" t="n"/>
      <c r="O55" s="125" t="n"/>
      <c r="P55" s="125" t="n"/>
      <c r="Q55" s="127" t="n"/>
      <c r="R55" s="125" t="n"/>
      <c r="S55" s="125" t="n"/>
      <c r="T55" s="128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7" t="n"/>
      <c r="AF55" s="127" t="n"/>
      <c r="AG55" s="127" t="n"/>
    </row>
    <row r="56">
      <c r="A56" s="118">
        <f>IF(COUNTA(B56:AG56)=0,"待填写",IF(OR(B56="",C56="",D56="",E56="",F56="",AND(G56="",H56="",I56="",J56=""),M56="",N56="",P56="",NOT(ISNUMBER(Q56)),NOT(ISNUMBER(T56)),U56="",X56="",Y56="",Z56="",AA56="",AD56="",NOT(ISNUMBER(AE56)),NOT(ISNUMBER(AF56)),NOT(ISNUMBER(AG56))),"请补全必填",IF(OR(COUNTIF($B$5:$B$104,B56)&gt;1,COUNTIF($C$5:$C$104,C56)&gt;1),"ID重复",IF(COUNTIF('水晶主数据'!$B$5:$B$54,D56)=0,"关联不存在",IF(OR(ISNA(MATCH(F56,'_枚举'!$D$2:$D$7,0)),AND(L56&lt;&gt;"",ISNA(MATCH(L56,'_枚举'!$E$2:$E$6,0))),ISNA(MATCH(M56,'_枚举'!$A$2:$A$4,0)),ISNA(MATCH(N56,'_枚举'!$B$2:$B$5,0)),ISNA(MATCH(P56,'_枚举'!$F$2:$F$5,0)),ISNA(MATCH(Y56,'_枚举'!$C$2:$C$3,0)),ISNA(MATCH(Z56,'_枚举'!$C$2:$C$3,0)),ISNA(MATCH(AA56,'_枚举'!$C$2:$C$3,0)),ISNA(MATCH(AD56,'_枚举'!$G$2:$G$3,0))),"枚举错误",IF(OR(AND(G56&lt;&gt;"",OR(NOT(ISNUMBER(G56)),G56&lt;=0)),AND(H56&lt;&gt;"",OR(NOT(ISNUMBER(H56)),H56&lt;=0)),AND(I56&lt;&gt;"",OR(NOT(ISNUMBER(I56)),I56&lt;=0)),AND(J56&lt;&gt;"",OR(NOT(ISNUMBER(J56)),J56&lt;=0)),AND(K56&lt;&gt;"",OR(NOT(ISNUMBER(K56)),K56&lt;=0)),NOT(ISNUMBER(Q56)),Q56&lt;=0,AND(R56&lt;&gt;"",OR(NOT(ISNUMBER(R56)),R56&lt;=0)),AND(S56&lt;&gt;"",OR(NOT(ISNUMBER(S56)),S56&lt;=0)),NOT(ISNUMBER(T56)),T56&lt;0,T56&gt;1,NOT(ISNUMBER(AE56)),AE56&lt;0,NOT(ISNUMBER(AF56)),AF56&lt;0,NOT(ISNUMBER(AG56)),AG56&lt;0,AND(AB56&lt;&gt;"",NOT(ISNUMBER(AB56)))),"格式错误",IF(AND(Z56="TRUE",OR(Y56&lt;&gt;"TRUE",M56="UNKNOWN")),"待人工复核","可导入")))))))</f>
        <v/>
      </c>
      <c r="B56" s="125" t="n"/>
      <c r="C56" s="125" t="n"/>
      <c r="D56" s="125" t="n"/>
      <c r="E56" s="125" t="n"/>
      <c r="F56" s="125" t="n"/>
      <c r="G56" s="126" t="n"/>
      <c r="H56" s="126" t="n"/>
      <c r="I56" s="126" t="n"/>
      <c r="J56" s="126" t="n"/>
      <c r="K56" s="125" t="n"/>
      <c r="L56" s="127" t="n"/>
      <c r="M56" s="127" t="n"/>
      <c r="N56" s="125" t="n"/>
      <c r="O56" s="125" t="n"/>
      <c r="P56" s="125" t="n"/>
      <c r="Q56" s="127" t="n"/>
      <c r="R56" s="125" t="n"/>
      <c r="S56" s="125" t="n"/>
      <c r="T56" s="128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7" t="n"/>
      <c r="AF56" s="127" t="n"/>
      <c r="AG56" s="127" t="n"/>
    </row>
    <row r="57">
      <c r="A57" s="118">
        <f>IF(COUNTA(B57:AG57)=0,"待填写",IF(OR(B57="",C57="",D57="",E57="",F57="",AND(G57="",H57="",I57="",J57=""),M57="",N57="",P57="",NOT(ISNUMBER(Q57)),NOT(ISNUMBER(T57)),U57="",X57="",Y57="",Z57="",AA57="",AD57="",NOT(ISNUMBER(AE57)),NOT(ISNUMBER(AF57)),NOT(ISNUMBER(AG57))),"请补全必填",IF(OR(COUNTIF($B$5:$B$104,B57)&gt;1,COUNTIF($C$5:$C$104,C57)&gt;1),"ID重复",IF(COUNTIF('水晶主数据'!$B$5:$B$54,D57)=0,"关联不存在",IF(OR(ISNA(MATCH(F57,'_枚举'!$D$2:$D$7,0)),AND(L57&lt;&gt;"",ISNA(MATCH(L57,'_枚举'!$E$2:$E$6,0))),ISNA(MATCH(M57,'_枚举'!$A$2:$A$4,0)),ISNA(MATCH(N57,'_枚举'!$B$2:$B$5,0)),ISNA(MATCH(P57,'_枚举'!$F$2:$F$5,0)),ISNA(MATCH(Y57,'_枚举'!$C$2:$C$3,0)),ISNA(MATCH(Z57,'_枚举'!$C$2:$C$3,0)),ISNA(MATCH(AA57,'_枚举'!$C$2:$C$3,0)),ISNA(MATCH(AD57,'_枚举'!$G$2:$G$3,0))),"枚举错误",IF(OR(AND(G57&lt;&gt;"",OR(NOT(ISNUMBER(G57)),G57&lt;=0)),AND(H57&lt;&gt;"",OR(NOT(ISNUMBER(H57)),H57&lt;=0)),AND(I57&lt;&gt;"",OR(NOT(ISNUMBER(I57)),I57&lt;=0)),AND(J57&lt;&gt;"",OR(NOT(ISNUMBER(J57)),J57&lt;=0)),AND(K57&lt;&gt;"",OR(NOT(ISNUMBER(K57)),K57&lt;=0)),NOT(ISNUMBER(Q57)),Q57&lt;=0,AND(R57&lt;&gt;"",OR(NOT(ISNUMBER(R57)),R57&lt;=0)),AND(S57&lt;&gt;"",OR(NOT(ISNUMBER(S57)),S57&lt;=0)),NOT(ISNUMBER(T57)),T57&lt;0,T57&gt;1,NOT(ISNUMBER(AE57)),AE57&lt;0,NOT(ISNUMBER(AF57)),AF57&lt;0,NOT(ISNUMBER(AG57)),AG57&lt;0,AND(AB57&lt;&gt;"",NOT(ISNUMBER(AB57)))),"格式错误",IF(AND(Z57="TRUE",OR(Y57&lt;&gt;"TRUE",M57="UNKNOWN")),"待人工复核","可导入")))))))</f>
        <v/>
      </c>
      <c r="B57" s="125" t="n"/>
      <c r="C57" s="125" t="n"/>
      <c r="D57" s="125" t="n"/>
      <c r="E57" s="125" t="n"/>
      <c r="F57" s="125" t="n"/>
      <c r="G57" s="126" t="n"/>
      <c r="H57" s="126" t="n"/>
      <c r="I57" s="126" t="n"/>
      <c r="J57" s="126" t="n"/>
      <c r="K57" s="125" t="n"/>
      <c r="L57" s="127" t="n"/>
      <c r="M57" s="127" t="n"/>
      <c r="N57" s="125" t="n"/>
      <c r="O57" s="125" t="n"/>
      <c r="P57" s="125" t="n"/>
      <c r="Q57" s="127" t="n"/>
      <c r="R57" s="125" t="n"/>
      <c r="S57" s="125" t="n"/>
      <c r="T57" s="128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7" t="n"/>
      <c r="AF57" s="127" t="n"/>
      <c r="AG57" s="127" t="n"/>
    </row>
    <row r="58">
      <c r="A58" s="118">
        <f>IF(COUNTA(B58:AG58)=0,"待填写",IF(OR(B58="",C58="",D58="",E58="",F58="",AND(G58="",H58="",I58="",J58=""),M58="",N58="",P58="",NOT(ISNUMBER(Q58)),NOT(ISNUMBER(T58)),U58="",X58="",Y58="",Z58="",AA58="",AD58="",NOT(ISNUMBER(AE58)),NOT(ISNUMBER(AF58)),NOT(ISNUMBER(AG58))),"请补全必填",IF(OR(COUNTIF($B$5:$B$104,B58)&gt;1,COUNTIF($C$5:$C$104,C58)&gt;1),"ID重复",IF(COUNTIF('水晶主数据'!$B$5:$B$54,D58)=0,"关联不存在",IF(OR(ISNA(MATCH(F58,'_枚举'!$D$2:$D$7,0)),AND(L58&lt;&gt;"",ISNA(MATCH(L58,'_枚举'!$E$2:$E$6,0))),ISNA(MATCH(M58,'_枚举'!$A$2:$A$4,0)),ISNA(MATCH(N58,'_枚举'!$B$2:$B$5,0)),ISNA(MATCH(P58,'_枚举'!$F$2:$F$5,0)),ISNA(MATCH(Y58,'_枚举'!$C$2:$C$3,0)),ISNA(MATCH(Z58,'_枚举'!$C$2:$C$3,0)),ISNA(MATCH(AA58,'_枚举'!$C$2:$C$3,0)),ISNA(MATCH(AD58,'_枚举'!$G$2:$G$3,0))),"枚举错误",IF(OR(AND(G58&lt;&gt;"",OR(NOT(ISNUMBER(G58)),G58&lt;=0)),AND(H58&lt;&gt;"",OR(NOT(ISNUMBER(H58)),H58&lt;=0)),AND(I58&lt;&gt;"",OR(NOT(ISNUMBER(I58)),I58&lt;=0)),AND(J58&lt;&gt;"",OR(NOT(ISNUMBER(J58)),J58&lt;=0)),AND(K58&lt;&gt;"",OR(NOT(ISNUMBER(K58)),K58&lt;=0)),NOT(ISNUMBER(Q58)),Q58&lt;=0,AND(R58&lt;&gt;"",OR(NOT(ISNUMBER(R58)),R58&lt;=0)),AND(S58&lt;&gt;"",OR(NOT(ISNUMBER(S58)),S58&lt;=0)),NOT(ISNUMBER(T58)),T58&lt;0,T58&gt;1,NOT(ISNUMBER(AE58)),AE58&lt;0,NOT(ISNUMBER(AF58)),AF58&lt;0,NOT(ISNUMBER(AG58)),AG58&lt;0,AND(AB58&lt;&gt;"",NOT(ISNUMBER(AB58)))),"格式错误",IF(AND(Z58="TRUE",OR(Y58&lt;&gt;"TRUE",M58="UNKNOWN")),"待人工复核","可导入")))))))</f>
        <v/>
      </c>
      <c r="B58" s="125" t="n"/>
      <c r="C58" s="125" t="n"/>
      <c r="D58" s="125" t="n"/>
      <c r="E58" s="125" t="n"/>
      <c r="F58" s="125" t="n"/>
      <c r="G58" s="126" t="n"/>
      <c r="H58" s="126" t="n"/>
      <c r="I58" s="126" t="n"/>
      <c r="J58" s="126" t="n"/>
      <c r="K58" s="125" t="n"/>
      <c r="L58" s="127" t="n"/>
      <c r="M58" s="127" t="n"/>
      <c r="N58" s="125" t="n"/>
      <c r="O58" s="125" t="n"/>
      <c r="P58" s="125" t="n"/>
      <c r="Q58" s="127" t="n"/>
      <c r="R58" s="125" t="n"/>
      <c r="S58" s="125" t="n"/>
      <c r="T58" s="128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7" t="n"/>
      <c r="AF58" s="127" t="n"/>
      <c r="AG58" s="127" t="n"/>
    </row>
    <row r="59">
      <c r="A59" s="118">
        <f>IF(COUNTA(B59:AG59)=0,"待填写",IF(OR(B59="",C59="",D59="",E59="",F59="",AND(G59="",H59="",I59="",J59=""),M59="",N59="",P59="",NOT(ISNUMBER(Q59)),NOT(ISNUMBER(T59)),U59="",X59="",Y59="",Z59="",AA59="",AD59="",NOT(ISNUMBER(AE59)),NOT(ISNUMBER(AF59)),NOT(ISNUMBER(AG59))),"请补全必填",IF(OR(COUNTIF($B$5:$B$104,B59)&gt;1,COUNTIF($C$5:$C$104,C59)&gt;1),"ID重复",IF(COUNTIF('水晶主数据'!$B$5:$B$54,D59)=0,"关联不存在",IF(OR(ISNA(MATCH(F59,'_枚举'!$D$2:$D$7,0)),AND(L59&lt;&gt;"",ISNA(MATCH(L59,'_枚举'!$E$2:$E$6,0))),ISNA(MATCH(M59,'_枚举'!$A$2:$A$4,0)),ISNA(MATCH(N59,'_枚举'!$B$2:$B$5,0)),ISNA(MATCH(P59,'_枚举'!$F$2:$F$5,0)),ISNA(MATCH(Y59,'_枚举'!$C$2:$C$3,0)),ISNA(MATCH(Z59,'_枚举'!$C$2:$C$3,0)),ISNA(MATCH(AA59,'_枚举'!$C$2:$C$3,0)),ISNA(MATCH(AD59,'_枚举'!$G$2:$G$3,0))),"枚举错误",IF(OR(AND(G59&lt;&gt;"",OR(NOT(ISNUMBER(G59)),G59&lt;=0)),AND(H59&lt;&gt;"",OR(NOT(ISNUMBER(H59)),H59&lt;=0)),AND(I59&lt;&gt;"",OR(NOT(ISNUMBER(I59)),I59&lt;=0)),AND(J59&lt;&gt;"",OR(NOT(ISNUMBER(J59)),J59&lt;=0)),AND(K59&lt;&gt;"",OR(NOT(ISNUMBER(K59)),K59&lt;=0)),NOT(ISNUMBER(Q59)),Q59&lt;=0,AND(R59&lt;&gt;"",OR(NOT(ISNUMBER(R59)),R59&lt;=0)),AND(S59&lt;&gt;"",OR(NOT(ISNUMBER(S59)),S59&lt;=0)),NOT(ISNUMBER(T59)),T59&lt;0,T59&gt;1,NOT(ISNUMBER(AE59)),AE59&lt;0,NOT(ISNUMBER(AF59)),AF59&lt;0,NOT(ISNUMBER(AG59)),AG59&lt;0,AND(AB59&lt;&gt;"",NOT(ISNUMBER(AB59)))),"格式错误",IF(AND(Z59="TRUE",OR(Y59&lt;&gt;"TRUE",M59="UNKNOWN")),"待人工复核","可导入")))))))</f>
        <v/>
      </c>
      <c r="B59" s="125" t="n"/>
      <c r="C59" s="125" t="n"/>
      <c r="D59" s="125" t="n"/>
      <c r="E59" s="125" t="n"/>
      <c r="F59" s="125" t="n"/>
      <c r="G59" s="126" t="n"/>
      <c r="H59" s="126" t="n"/>
      <c r="I59" s="126" t="n"/>
      <c r="J59" s="126" t="n"/>
      <c r="K59" s="125" t="n"/>
      <c r="L59" s="127" t="n"/>
      <c r="M59" s="127" t="n"/>
      <c r="N59" s="125" t="n"/>
      <c r="O59" s="125" t="n"/>
      <c r="P59" s="125" t="n"/>
      <c r="Q59" s="127" t="n"/>
      <c r="R59" s="125" t="n"/>
      <c r="S59" s="125" t="n"/>
      <c r="T59" s="128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7" t="n"/>
      <c r="AF59" s="127" t="n"/>
      <c r="AG59" s="127" t="n"/>
    </row>
    <row r="60">
      <c r="A60" s="118">
        <f>IF(COUNTA(B60:AG60)=0,"待填写",IF(OR(B60="",C60="",D60="",E60="",F60="",AND(G60="",H60="",I60="",J60=""),M60="",N60="",P60="",NOT(ISNUMBER(Q60)),NOT(ISNUMBER(T60)),U60="",X60="",Y60="",Z60="",AA60="",AD60="",NOT(ISNUMBER(AE60)),NOT(ISNUMBER(AF60)),NOT(ISNUMBER(AG60))),"请补全必填",IF(OR(COUNTIF($B$5:$B$104,B60)&gt;1,COUNTIF($C$5:$C$104,C60)&gt;1),"ID重复",IF(COUNTIF('水晶主数据'!$B$5:$B$54,D60)=0,"关联不存在",IF(OR(ISNA(MATCH(F60,'_枚举'!$D$2:$D$7,0)),AND(L60&lt;&gt;"",ISNA(MATCH(L60,'_枚举'!$E$2:$E$6,0))),ISNA(MATCH(M60,'_枚举'!$A$2:$A$4,0)),ISNA(MATCH(N60,'_枚举'!$B$2:$B$5,0)),ISNA(MATCH(P60,'_枚举'!$F$2:$F$5,0)),ISNA(MATCH(Y60,'_枚举'!$C$2:$C$3,0)),ISNA(MATCH(Z60,'_枚举'!$C$2:$C$3,0)),ISNA(MATCH(AA60,'_枚举'!$C$2:$C$3,0)),ISNA(MATCH(AD60,'_枚举'!$G$2:$G$3,0))),"枚举错误",IF(OR(AND(G60&lt;&gt;"",OR(NOT(ISNUMBER(G60)),G60&lt;=0)),AND(H60&lt;&gt;"",OR(NOT(ISNUMBER(H60)),H60&lt;=0)),AND(I60&lt;&gt;"",OR(NOT(ISNUMBER(I60)),I60&lt;=0)),AND(J60&lt;&gt;"",OR(NOT(ISNUMBER(J60)),J60&lt;=0)),AND(K60&lt;&gt;"",OR(NOT(ISNUMBER(K60)),K60&lt;=0)),NOT(ISNUMBER(Q60)),Q60&lt;=0,AND(R60&lt;&gt;"",OR(NOT(ISNUMBER(R60)),R60&lt;=0)),AND(S60&lt;&gt;"",OR(NOT(ISNUMBER(S60)),S60&lt;=0)),NOT(ISNUMBER(T60)),T60&lt;0,T60&gt;1,NOT(ISNUMBER(AE60)),AE60&lt;0,NOT(ISNUMBER(AF60)),AF60&lt;0,NOT(ISNUMBER(AG60)),AG60&lt;0,AND(AB60&lt;&gt;"",NOT(ISNUMBER(AB60)))),"格式错误",IF(AND(Z60="TRUE",OR(Y60&lt;&gt;"TRUE",M60="UNKNOWN")),"待人工复核","可导入")))))))</f>
        <v/>
      </c>
      <c r="B60" s="125" t="n"/>
      <c r="C60" s="125" t="n"/>
      <c r="D60" s="125" t="n"/>
      <c r="E60" s="125" t="n"/>
      <c r="F60" s="125" t="n"/>
      <c r="G60" s="126" t="n"/>
      <c r="H60" s="126" t="n"/>
      <c r="I60" s="126" t="n"/>
      <c r="J60" s="126" t="n"/>
      <c r="K60" s="125" t="n"/>
      <c r="L60" s="127" t="n"/>
      <c r="M60" s="127" t="n"/>
      <c r="N60" s="125" t="n"/>
      <c r="O60" s="125" t="n"/>
      <c r="P60" s="125" t="n"/>
      <c r="Q60" s="127" t="n"/>
      <c r="R60" s="125" t="n"/>
      <c r="S60" s="125" t="n"/>
      <c r="T60" s="128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7" t="n"/>
      <c r="AF60" s="127" t="n"/>
      <c r="AG60" s="127" t="n"/>
    </row>
    <row r="61">
      <c r="A61" s="118">
        <f>IF(COUNTA(B61:AG61)=0,"待填写",IF(OR(B61="",C61="",D61="",E61="",F61="",AND(G61="",H61="",I61="",J61=""),M61="",N61="",P61="",NOT(ISNUMBER(Q61)),NOT(ISNUMBER(T61)),U61="",X61="",Y61="",Z61="",AA61="",AD61="",NOT(ISNUMBER(AE61)),NOT(ISNUMBER(AF61)),NOT(ISNUMBER(AG61))),"请补全必填",IF(OR(COUNTIF($B$5:$B$104,B61)&gt;1,COUNTIF($C$5:$C$104,C61)&gt;1),"ID重复",IF(COUNTIF('水晶主数据'!$B$5:$B$54,D61)=0,"关联不存在",IF(OR(ISNA(MATCH(F61,'_枚举'!$D$2:$D$7,0)),AND(L61&lt;&gt;"",ISNA(MATCH(L61,'_枚举'!$E$2:$E$6,0))),ISNA(MATCH(M61,'_枚举'!$A$2:$A$4,0)),ISNA(MATCH(N61,'_枚举'!$B$2:$B$5,0)),ISNA(MATCH(P61,'_枚举'!$F$2:$F$5,0)),ISNA(MATCH(Y61,'_枚举'!$C$2:$C$3,0)),ISNA(MATCH(Z61,'_枚举'!$C$2:$C$3,0)),ISNA(MATCH(AA61,'_枚举'!$C$2:$C$3,0)),ISNA(MATCH(AD61,'_枚举'!$G$2:$G$3,0))),"枚举错误",IF(OR(AND(G61&lt;&gt;"",OR(NOT(ISNUMBER(G61)),G61&lt;=0)),AND(H61&lt;&gt;"",OR(NOT(ISNUMBER(H61)),H61&lt;=0)),AND(I61&lt;&gt;"",OR(NOT(ISNUMBER(I61)),I61&lt;=0)),AND(J61&lt;&gt;"",OR(NOT(ISNUMBER(J61)),J61&lt;=0)),AND(K61&lt;&gt;"",OR(NOT(ISNUMBER(K61)),K61&lt;=0)),NOT(ISNUMBER(Q61)),Q61&lt;=0,AND(R61&lt;&gt;"",OR(NOT(ISNUMBER(R61)),R61&lt;=0)),AND(S61&lt;&gt;"",OR(NOT(ISNUMBER(S61)),S61&lt;=0)),NOT(ISNUMBER(T61)),T61&lt;0,T61&gt;1,NOT(ISNUMBER(AE61)),AE61&lt;0,NOT(ISNUMBER(AF61)),AF61&lt;0,NOT(ISNUMBER(AG61)),AG61&lt;0,AND(AB61&lt;&gt;"",NOT(ISNUMBER(AB61)))),"格式错误",IF(AND(Z61="TRUE",OR(Y61&lt;&gt;"TRUE",M61="UNKNOWN")),"待人工复核","可导入")))))))</f>
        <v/>
      </c>
      <c r="B61" s="125" t="n"/>
      <c r="C61" s="125" t="n"/>
      <c r="D61" s="125" t="n"/>
      <c r="E61" s="125" t="n"/>
      <c r="F61" s="125" t="n"/>
      <c r="G61" s="126" t="n"/>
      <c r="H61" s="126" t="n"/>
      <c r="I61" s="126" t="n"/>
      <c r="J61" s="126" t="n"/>
      <c r="K61" s="125" t="n"/>
      <c r="L61" s="127" t="n"/>
      <c r="M61" s="127" t="n"/>
      <c r="N61" s="125" t="n"/>
      <c r="O61" s="125" t="n"/>
      <c r="P61" s="125" t="n"/>
      <c r="Q61" s="127" t="n"/>
      <c r="R61" s="125" t="n"/>
      <c r="S61" s="125" t="n"/>
      <c r="T61" s="128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7" t="n"/>
      <c r="AF61" s="127" t="n"/>
      <c r="AG61" s="127" t="n"/>
    </row>
    <row r="62">
      <c r="A62" s="118">
        <f>IF(COUNTA(B62:AG62)=0,"待填写",IF(OR(B62="",C62="",D62="",E62="",F62="",AND(G62="",H62="",I62="",J62=""),M62="",N62="",P62="",NOT(ISNUMBER(Q62)),NOT(ISNUMBER(T62)),U62="",X62="",Y62="",Z62="",AA62="",AD62="",NOT(ISNUMBER(AE62)),NOT(ISNUMBER(AF62)),NOT(ISNUMBER(AG62))),"请补全必填",IF(OR(COUNTIF($B$5:$B$104,B62)&gt;1,COUNTIF($C$5:$C$104,C62)&gt;1),"ID重复",IF(COUNTIF('水晶主数据'!$B$5:$B$54,D62)=0,"关联不存在",IF(OR(ISNA(MATCH(F62,'_枚举'!$D$2:$D$7,0)),AND(L62&lt;&gt;"",ISNA(MATCH(L62,'_枚举'!$E$2:$E$6,0))),ISNA(MATCH(M62,'_枚举'!$A$2:$A$4,0)),ISNA(MATCH(N62,'_枚举'!$B$2:$B$5,0)),ISNA(MATCH(P62,'_枚举'!$F$2:$F$5,0)),ISNA(MATCH(Y62,'_枚举'!$C$2:$C$3,0)),ISNA(MATCH(Z62,'_枚举'!$C$2:$C$3,0)),ISNA(MATCH(AA62,'_枚举'!$C$2:$C$3,0)),ISNA(MATCH(AD62,'_枚举'!$G$2:$G$3,0))),"枚举错误",IF(OR(AND(G62&lt;&gt;"",OR(NOT(ISNUMBER(G62)),G62&lt;=0)),AND(H62&lt;&gt;"",OR(NOT(ISNUMBER(H62)),H62&lt;=0)),AND(I62&lt;&gt;"",OR(NOT(ISNUMBER(I62)),I62&lt;=0)),AND(J62&lt;&gt;"",OR(NOT(ISNUMBER(J62)),J62&lt;=0)),AND(K62&lt;&gt;"",OR(NOT(ISNUMBER(K62)),K62&lt;=0)),NOT(ISNUMBER(Q62)),Q62&lt;=0,AND(R62&lt;&gt;"",OR(NOT(ISNUMBER(R62)),R62&lt;=0)),AND(S62&lt;&gt;"",OR(NOT(ISNUMBER(S62)),S62&lt;=0)),NOT(ISNUMBER(T62)),T62&lt;0,T62&gt;1,NOT(ISNUMBER(AE62)),AE62&lt;0,NOT(ISNUMBER(AF62)),AF62&lt;0,NOT(ISNUMBER(AG62)),AG62&lt;0,AND(AB62&lt;&gt;"",NOT(ISNUMBER(AB62)))),"格式错误",IF(AND(Z62="TRUE",OR(Y62&lt;&gt;"TRUE",M62="UNKNOWN")),"待人工复核","可导入")))))))</f>
        <v/>
      </c>
      <c r="B62" s="125" t="n"/>
      <c r="C62" s="125" t="n"/>
      <c r="D62" s="125" t="n"/>
      <c r="E62" s="125" t="n"/>
      <c r="F62" s="125" t="n"/>
      <c r="G62" s="126" t="n"/>
      <c r="H62" s="126" t="n"/>
      <c r="I62" s="126" t="n"/>
      <c r="J62" s="126" t="n"/>
      <c r="K62" s="125" t="n"/>
      <c r="L62" s="127" t="n"/>
      <c r="M62" s="127" t="n"/>
      <c r="N62" s="125" t="n"/>
      <c r="O62" s="125" t="n"/>
      <c r="P62" s="125" t="n"/>
      <c r="Q62" s="127" t="n"/>
      <c r="R62" s="125" t="n"/>
      <c r="S62" s="125" t="n"/>
      <c r="T62" s="128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7" t="n"/>
      <c r="AF62" s="127" t="n"/>
      <c r="AG62" s="127" t="n"/>
    </row>
    <row r="63">
      <c r="A63" s="118">
        <f>IF(COUNTA(B63:AG63)=0,"待填写",IF(OR(B63="",C63="",D63="",E63="",F63="",AND(G63="",H63="",I63="",J63=""),M63="",N63="",P63="",NOT(ISNUMBER(Q63)),NOT(ISNUMBER(T63)),U63="",X63="",Y63="",Z63="",AA63="",AD63="",NOT(ISNUMBER(AE63)),NOT(ISNUMBER(AF63)),NOT(ISNUMBER(AG63))),"请补全必填",IF(OR(COUNTIF($B$5:$B$104,B63)&gt;1,COUNTIF($C$5:$C$104,C63)&gt;1),"ID重复",IF(COUNTIF('水晶主数据'!$B$5:$B$54,D63)=0,"关联不存在",IF(OR(ISNA(MATCH(F63,'_枚举'!$D$2:$D$7,0)),AND(L63&lt;&gt;"",ISNA(MATCH(L63,'_枚举'!$E$2:$E$6,0))),ISNA(MATCH(M63,'_枚举'!$A$2:$A$4,0)),ISNA(MATCH(N63,'_枚举'!$B$2:$B$5,0)),ISNA(MATCH(P63,'_枚举'!$F$2:$F$5,0)),ISNA(MATCH(Y63,'_枚举'!$C$2:$C$3,0)),ISNA(MATCH(Z63,'_枚举'!$C$2:$C$3,0)),ISNA(MATCH(AA63,'_枚举'!$C$2:$C$3,0)),ISNA(MATCH(AD63,'_枚举'!$G$2:$G$3,0))),"枚举错误",IF(OR(AND(G63&lt;&gt;"",OR(NOT(ISNUMBER(G63)),G63&lt;=0)),AND(H63&lt;&gt;"",OR(NOT(ISNUMBER(H63)),H63&lt;=0)),AND(I63&lt;&gt;"",OR(NOT(ISNUMBER(I63)),I63&lt;=0)),AND(J63&lt;&gt;"",OR(NOT(ISNUMBER(J63)),J63&lt;=0)),AND(K63&lt;&gt;"",OR(NOT(ISNUMBER(K63)),K63&lt;=0)),NOT(ISNUMBER(Q63)),Q63&lt;=0,AND(R63&lt;&gt;"",OR(NOT(ISNUMBER(R63)),R63&lt;=0)),AND(S63&lt;&gt;"",OR(NOT(ISNUMBER(S63)),S63&lt;=0)),NOT(ISNUMBER(T63)),T63&lt;0,T63&gt;1,NOT(ISNUMBER(AE63)),AE63&lt;0,NOT(ISNUMBER(AF63)),AF63&lt;0,NOT(ISNUMBER(AG63)),AG63&lt;0,AND(AB63&lt;&gt;"",NOT(ISNUMBER(AB63)))),"格式错误",IF(AND(Z63="TRUE",OR(Y63&lt;&gt;"TRUE",M63="UNKNOWN")),"待人工复核","可导入")))))))</f>
        <v/>
      </c>
      <c r="B63" s="125" t="n"/>
      <c r="C63" s="125" t="n"/>
      <c r="D63" s="125" t="n"/>
      <c r="E63" s="125" t="n"/>
      <c r="F63" s="125" t="n"/>
      <c r="G63" s="126" t="n"/>
      <c r="H63" s="126" t="n"/>
      <c r="I63" s="126" t="n"/>
      <c r="J63" s="126" t="n"/>
      <c r="K63" s="125" t="n"/>
      <c r="L63" s="127" t="n"/>
      <c r="M63" s="127" t="n"/>
      <c r="N63" s="125" t="n"/>
      <c r="O63" s="125" t="n"/>
      <c r="P63" s="125" t="n"/>
      <c r="Q63" s="127" t="n"/>
      <c r="R63" s="125" t="n"/>
      <c r="S63" s="125" t="n"/>
      <c r="T63" s="128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7" t="n"/>
      <c r="AF63" s="127" t="n"/>
      <c r="AG63" s="127" t="n"/>
    </row>
    <row r="64">
      <c r="A64" s="118">
        <f>IF(COUNTA(B64:AG64)=0,"待填写",IF(OR(B64="",C64="",D64="",E64="",F64="",AND(G64="",H64="",I64="",J64=""),M64="",N64="",P64="",NOT(ISNUMBER(Q64)),NOT(ISNUMBER(T64)),U64="",X64="",Y64="",Z64="",AA64="",AD64="",NOT(ISNUMBER(AE64)),NOT(ISNUMBER(AF64)),NOT(ISNUMBER(AG64))),"请补全必填",IF(OR(COUNTIF($B$5:$B$104,B64)&gt;1,COUNTIF($C$5:$C$104,C64)&gt;1),"ID重复",IF(COUNTIF('水晶主数据'!$B$5:$B$54,D64)=0,"关联不存在",IF(OR(ISNA(MATCH(F64,'_枚举'!$D$2:$D$7,0)),AND(L64&lt;&gt;"",ISNA(MATCH(L64,'_枚举'!$E$2:$E$6,0))),ISNA(MATCH(M64,'_枚举'!$A$2:$A$4,0)),ISNA(MATCH(N64,'_枚举'!$B$2:$B$5,0)),ISNA(MATCH(P64,'_枚举'!$F$2:$F$5,0)),ISNA(MATCH(Y64,'_枚举'!$C$2:$C$3,0)),ISNA(MATCH(Z64,'_枚举'!$C$2:$C$3,0)),ISNA(MATCH(AA64,'_枚举'!$C$2:$C$3,0)),ISNA(MATCH(AD64,'_枚举'!$G$2:$G$3,0))),"枚举错误",IF(OR(AND(G64&lt;&gt;"",OR(NOT(ISNUMBER(G64)),G64&lt;=0)),AND(H64&lt;&gt;"",OR(NOT(ISNUMBER(H64)),H64&lt;=0)),AND(I64&lt;&gt;"",OR(NOT(ISNUMBER(I64)),I64&lt;=0)),AND(J64&lt;&gt;"",OR(NOT(ISNUMBER(J64)),J64&lt;=0)),AND(K64&lt;&gt;"",OR(NOT(ISNUMBER(K64)),K64&lt;=0)),NOT(ISNUMBER(Q64)),Q64&lt;=0,AND(R64&lt;&gt;"",OR(NOT(ISNUMBER(R64)),R64&lt;=0)),AND(S64&lt;&gt;"",OR(NOT(ISNUMBER(S64)),S64&lt;=0)),NOT(ISNUMBER(T64)),T64&lt;0,T64&gt;1,NOT(ISNUMBER(AE64)),AE64&lt;0,NOT(ISNUMBER(AF64)),AF64&lt;0,NOT(ISNUMBER(AG64)),AG64&lt;0,AND(AB64&lt;&gt;"",NOT(ISNUMBER(AB64)))),"格式错误",IF(AND(Z64="TRUE",OR(Y64&lt;&gt;"TRUE",M64="UNKNOWN")),"待人工复核","可导入")))))))</f>
        <v/>
      </c>
      <c r="B64" s="125" t="n"/>
      <c r="C64" s="125" t="n"/>
      <c r="D64" s="125" t="n"/>
      <c r="E64" s="125" t="n"/>
      <c r="F64" s="125" t="n"/>
      <c r="G64" s="126" t="n"/>
      <c r="H64" s="126" t="n"/>
      <c r="I64" s="126" t="n"/>
      <c r="J64" s="126" t="n"/>
      <c r="K64" s="125" t="n"/>
      <c r="L64" s="127" t="n"/>
      <c r="M64" s="127" t="n"/>
      <c r="N64" s="125" t="n"/>
      <c r="O64" s="125" t="n"/>
      <c r="P64" s="125" t="n"/>
      <c r="Q64" s="127" t="n"/>
      <c r="R64" s="125" t="n"/>
      <c r="S64" s="125" t="n"/>
      <c r="T64" s="128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7" t="n"/>
      <c r="AF64" s="127" t="n"/>
      <c r="AG64" s="127" t="n"/>
    </row>
    <row r="65">
      <c r="A65" s="118">
        <f>IF(COUNTA(B65:AG65)=0,"待填写",IF(OR(B65="",C65="",D65="",E65="",F65="",AND(G65="",H65="",I65="",J65=""),M65="",N65="",P65="",NOT(ISNUMBER(Q65)),NOT(ISNUMBER(T65)),U65="",X65="",Y65="",Z65="",AA65="",AD65="",NOT(ISNUMBER(AE65)),NOT(ISNUMBER(AF65)),NOT(ISNUMBER(AG65))),"请补全必填",IF(OR(COUNTIF($B$5:$B$104,B65)&gt;1,COUNTIF($C$5:$C$104,C65)&gt;1),"ID重复",IF(COUNTIF('水晶主数据'!$B$5:$B$54,D65)=0,"关联不存在",IF(OR(ISNA(MATCH(F65,'_枚举'!$D$2:$D$7,0)),AND(L65&lt;&gt;"",ISNA(MATCH(L65,'_枚举'!$E$2:$E$6,0))),ISNA(MATCH(M65,'_枚举'!$A$2:$A$4,0)),ISNA(MATCH(N65,'_枚举'!$B$2:$B$5,0)),ISNA(MATCH(P65,'_枚举'!$F$2:$F$5,0)),ISNA(MATCH(Y65,'_枚举'!$C$2:$C$3,0)),ISNA(MATCH(Z65,'_枚举'!$C$2:$C$3,0)),ISNA(MATCH(AA65,'_枚举'!$C$2:$C$3,0)),ISNA(MATCH(AD65,'_枚举'!$G$2:$G$3,0))),"枚举错误",IF(OR(AND(G65&lt;&gt;"",OR(NOT(ISNUMBER(G65)),G65&lt;=0)),AND(H65&lt;&gt;"",OR(NOT(ISNUMBER(H65)),H65&lt;=0)),AND(I65&lt;&gt;"",OR(NOT(ISNUMBER(I65)),I65&lt;=0)),AND(J65&lt;&gt;"",OR(NOT(ISNUMBER(J65)),J65&lt;=0)),AND(K65&lt;&gt;"",OR(NOT(ISNUMBER(K65)),K65&lt;=0)),NOT(ISNUMBER(Q65)),Q65&lt;=0,AND(R65&lt;&gt;"",OR(NOT(ISNUMBER(R65)),R65&lt;=0)),AND(S65&lt;&gt;"",OR(NOT(ISNUMBER(S65)),S65&lt;=0)),NOT(ISNUMBER(T65)),T65&lt;0,T65&gt;1,NOT(ISNUMBER(AE65)),AE65&lt;0,NOT(ISNUMBER(AF65)),AF65&lt;0,NOT(ISNUMBER(AG65)),AG65&lt;0,AND(AB65&lt;&gt;"",NOT(ISNUMBER(AB65)))),"格式错误",IF(AND(Z65="TRUE",OR(Y65&lt;&gt;"TRUE",M65="UNKNOWN")),"待人工复核","可导入")))))))</f>
        <v/>
      </c>
      <c r="B65" s="125" t="n"/>
      <c r="C65" s="125" t="n"/>
      <c r="D65" s="125" t="n"/>
      <c r="E65" s="125" t="n"/>
      <c r="F65" s="125" t="n"/>
      <c r="G65" s="126" t="n"/>
      <c r="H65" s="126" t="n"/>
      <c r="I65" s="126" t="n"/>
      <c r="J65" s="126" t="n"/>
      <c r="K65" s="125" t="n"/>
      <c r="L65" s="127" t="n"/>
      <c r="M65" s="127" t="n"/>
      <c r="N65" s="125" t="n"/>
      <c r="O65" s="125" t="n"/>
      <c r="P65" s="125" t="n"/>
      <c r="Q65" s="127" t="n"/>
      <c r="R65" s="125" t="n"/>
      <c r="S65" s="125" t="n"/>
      <c r="T65" s="128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7" t="n"/>
      <c r="AF65" s="127" t="n"/>
      <c r="AG65" s="127" t="n"/>
    </row>
    <row r="66">
      <c r="A66" s="118">
        <f>IF(COUNTA(B66:AG66)=0,"待填写",IF(OR(B66="",C66="",D66="",E66="",F66="",AND(G66="",H66="",I66="",J66=""),M66="",N66="",P66="",NOT(ISNUMBER(Q66)),NOT(ISNUMBER(T66)),U66="",X66="",Y66="",Z66="",AA66="",AD66="",NOT(ISNUMBER(AE66)),NOT(ISNUMBER(AF66)),NOT(ISNUMBER(AG66))),"请补全必填",IF(OR(COUNTIF($B$5:$B$104,B66)&gt;1,COUNTIF($C$5:$C$104,C66)&gt;1),"ID重复",IF(COUNTIF('水晶主数据'!$B$5:$B$54,D66)=0,"关联不存在",IF(OR(ISNA(MATCH(F66,'_枚举'!$D$2:$D$7,0)),AND(L66&lt;&gt;"",ISNA(MATCH(L66,'_枚举'!$E$2:$E$6,0))),ISNA(MATCH(M66,'_枚举'!$A$2:$A$4,0)),ISNA(MATCH(N66,'_枚举'!$B$2:$B$5,0)),ISNA(MATCH(P66,'_枚举'!$F$2:$F$5,0)),ISNA(MATCH(Y66,'_枚举'!$C$2:$C$3,0)),ISNA(MATCH(Z66,'_枚举'!$C$2:$C$3,0)),ISNA(MATCH(AA66,'_枚举'!$C$2:$C$3,0)),ISNA(MATCH(AD66,'_枚举'!$G$2:$G$3,0))),"枚举错误",IF(OR(AND(G66&lt;&gt;"",OR(NOT(ISNUMBER(G66)),G66&lt;=0)),AND(H66&lt;&gt;"",OR(NOT(ISNUMBER(H66)),H66&lt;=0)),AND(I66&lt;&gt;"",OR(NOT(ISNUMBER(I66)),I66&lt;=0)),AND(J66&lt;&gt;"",OR(NOT(ISNUMBER(J66)),J66&lt;=0)),AND(K66&lt;&gt;"",OR(NOT(ISNUMBER(K66)),K66&lt;=0)),NOT(ISNUMBER(Q66)),Q66&lt;=0,AND(R66&lt;&gt;"",OR(NOT(ISNUMBER(R66)),R66&lt;=0)),AND(S66&lt;&gt;"",OR(NOT(ISNUMBER(S66)),S66&lt;=0)),NOT(ISNUMBER(T66)),T66&lt;0,T66&gt;1,NOT(ISNUMBER(AE66)),AE66&lt;0,NOT(ISNUMBER(AF66)),AF66&lt;0,NOT(ISNUMBER(AG66)),AG66&lt;0,AND(AB66&lt;&gt;"",NOT(ISNUMBER(AB66)))),"格式错误",IF(AND(Z66="TRUE",OR(Y66&lt;&gt;"TRUE",M66="UNKNOWN")),"待人工复核","可导入")))))))</f>
        <v/>
      </c>
      <c r="B66" s="125" t="n"/>
      <c r="C66" s="125" t="n"/>
      <c r="D66" s="125" t="n"/>
      <c r="E66" s="125" t="n"/>
      <c r="F66" s="125" t="n"/>
      <c r="G66" s="126" t="n"/>
      <c r="H66" s="126" t="n"/>
      <c r="I66" s="126" t="n"/>
      <c r="J66" s="126" t="n"/>
      <c r="K66" s="125" t="n"/>
      <c r="L66" s="127" t="n"/>
      <c r="M66" s="127" t="n"/>
      <c r="N66" s="125" t="n"/>
      <c r="O66" s="125" t="n"/>
      <c r="P66" s="125" t="n"/>
      <c r="Q66" s="127" t="n"/>
      <c r="R66" s="125" t="n"/>
      <c r="S66" s="125" t="n"/>
      <c r="T66" s="128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7" t="n"/>
      <c r="AF66" s="127" t="n"/>
      <c r="AG66" s="127" t="n"/>
    </row>
    <row r="67">
      <c r="A67" s="118">
        <f>IF(COUNTA(B67:AG67)=0,"待填写",IF(OR(B67="",C67="",D67="",E67="",F67="",AND(G67="",H67="",I67="",J67=""),M67="",N67="",P67="",NOT(ISNUMBER(Q67)),NOT(ISNUMBER(T67)),U67="",X67="",Y67="",Z67="",AA67="",AD67="",NOT(ISNUMBER(AE67)),NOT(ISNUMBER(AF67)),NOT(ISNUMBER(AG67))),"请补全必填",IF(OR(COUNTIF($B$5:$B$104,B67)&gt;1,COUNTIF($C$5:$C$104,C67)&gt;1),"ID重复",IF(COUNTIF('水晶主数据'!$B$5:$B$54,D67)=0,"关联不存在",IF(OR(ISNA(MATCH(F67,'_枚举'!$D$2:$D$7,0)),AND(L67&lt;&gt;"",ISNA(MATCH(L67,'_枚举'!$E$2:$E$6,0))),ISNA(MATCH(M67,'_枚举'!$A$2:$A$4,0)),ISNA(MATCH(N67,'_枚举'!$B$2:$B$5,0)),ISNA(MATCH(P67,'_枚举'!$F$2:$F$5,0)),ISNA(MATCH(Y67,'_枚举'!$C$2:$C$3,0)),ISNA(MATCH(Z67,'_枚举'!$C$2:$C$3,0)),ISNA(MATCH(AA67,'_枚举'!$C$2:$C$3,0)),ISNA(MATCH(AD67,'_枚举'!$G$2:$G$3,0))),"枚举错误",IF(OR(AND(G67&lt;&gt;"",OR(NOT(ISNUMBER(G67)),G67&lt;=0)),AND(H67&lt;&gt;"",OR(NOT(ISNUMBER(H67)),H67&lt;=0)),AND(I67&lt;&gt;"",OR(NOT(ISNUMBER(I67)),I67&lt;=0)),AND(J67&lt;&gt;"",OR(NOT(ISNUMBER(J67)),J67&lt;=0)),AND(K67&lt;&gt;"",OR(NOT(ISNUMBER(K67)),K67&lt;=0)),NOT(ISNUMBER(Q67)),Q67&lt;=0,AND(R67&lt;&gt;"",OR(NOT(ISNUMBER(R67)),R67&lt;=0)),AND(S67&lt;&gt;"",OR(NOT(ISNUMBER(S67)),S67&lt;=0)),NOT(ISNUMBER(T67)),T67&lt;0,T67&gt;1,NOT(ISNUMBER(AE67)),AE67&lt;0,NOT(ISNUMBER(AF67)),AF67&lt;0,NOT(ISNUMBER(AG67)),AG67&lt;0,AND(AB67&lt;&gt;"",NOT(ISNUMBER(AB67)))),"格式错误",IF(AND(Z67="TRUE",OR(Y67&lt;&gt;"TRUE",M67="UNKNOWN")),"待人工复核","可导入")))))))</f>
        <v/>
      </c>
      <c r="B67" s="125" t="n"/>
      <c r="C67" s="125" t="n"/>
      <c r="D67" s="125" t="n"/>
      <c r="E67" s="125" t="n"/>
      <c r="F67" s="125" t="n"/>
      <c r="G67" s="126" t="n"/>
      <c r="H67" s="126" t="n"/>
      <c r="I67" s="126" t="n"/>
      <c r="J67" s="126" t="n"/>
      <c r="K67" s="125" t="n"/>
      <c r="L67" s="127" t="n"/>
      <c r="M67" s="127" t="n"/>
      <c r="N67" s="125" t="n"/>
      <c r="O67" s="125" t="n"/>
      <c r="P67" s="125" t="n"/>
      <c r="Q67" s="127" t="n"/>
      <c r="R67" s="125" t="n"/>
      <c r="S67" s="125" t="n"/>
      <c r="T67" s="128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7" t="n"/>
      <c r="AF67" s="127" t="n"/>
      <c r="AG67" s="127" t="n"/>
    </row>
    <row r="68">
      <c r="A68" s="118">
        <f>IF(COUNTA(B68:AG68)=0,"待填写",IF(OR(B68="",C68="",D68="",E68="",F68="",AND(G68="",H68="",I68="",J68=""),M68="",N68="",P68="",NOT(ISNUMBER(Q68)),NOT(ISNUMBER(T68)),U68="",X68="",Y68="",Z68="",AA68="",AD68="",NOT(ISNUMBER(AE68)),NOT(ISNUMBER(AF68)),NOT(ISNUMBER(AG68))),"请补全必填",IF(OR(COUNTIF($B$5:$B$104,B68)&gt;1,COUNTIF($C$5:$C$104,C68)&gt;1),"ID重复",IF(COUNTIF('水晶主数据'!$B$5:$B$54,D68)=0,"关联不存在",IF(OR(ISNA(MATCH(F68,'_枚举'!$D$2:$D$7,0)),AND(L68&lt;&gt;"",ISNA(MATCH(L68,'_枚举'!$E$2:$E$6,0))),ISNA(MATCH(M68,'_枚举'!$A$2:$A$4,0)),ISNA(MATCH(N68,'_枚举'!$B$2:$B$5,0)),ISNA(MATCH(P68,'_枚举'!$F$2:$F$5,0)),ISNA(MATCH(Y68,'_枚举'!$C$2:$C$3,0)),ISNA(MATCH(Z68,'_枚举'!$C$2:$C$3,0)),ISNA(MATCH(AA68,'_枚举'!$C$2:$C$3,0)),ISNA(MATCH(AD68,'_枚举'!$G$2:$G$3,0))),"枚举错误",IF(OR(AND(G68&lt;&gt;"",OR(NOT(ISNUMBER(G68)),G68&lt;=0)),AND(H68&lt;&gt;"",OR(NOT(ISNUMBER(H68)),H68&lt;=0)),AND(I68&lt;&gt;"",OR(NOT(ISNUMBER(I68)),I68&lt;=0)),AND(J68&lt;&gt;"",OR(NOT(ISNUMBER(J68)),J68&lt;=0)),AND(K68&lt;&gt;"",OR(NOT(ISNUMBER(K68)),K68&lt;=0)),NOT(ISNUMBER(Q68)),Q68&lt;=0,AND(R68&lt;&gt;"",OR(NOT(ISNUMBER(R68)),R68&lt;=0)),AND(S68&lt;&gt;"",OR(NOT(ISNUMBER(S68)),S68&lt;=0)),NOT(ISNUMBER(T68)),T68&lt;0,T68&gt;1,NOT(ISNUMBER(AE68)),AE68&lt;0,NOT(ISNUMBER(AF68)),AF68&lt;0,NOT(ISNUMBER(AG68)),AG68&lt;0,AND(AB68&lt;&gt;"",NOT(ISNUMBER(AB68)))),"格式错误",IF(AND(Z68="TRUE",OR(Y68&lt;&gt;"TRUE",M68="UNKNOWN")),"待人工复核","可导入")))))))</f>
        <v/>
      </c>
      <c r="B68" s="125" t="n"/>
      <c r="C68" s="125" t="n"/>
      <c r="D68" s="125" t="n"/>
      <c r="E68" s="125" t="n"/>
      <c r="F68" s="125" t="n"/>
      <c r="G68" s="126" t="n"/>
      <c r="H68" s="126" t="n"/>
      <c r="I68" s="126" t="n"/>
      <c r="J68" s="126" t="n"/>
      <c r="K68" s="125" t="n"/>
      <c r="L68" s="127" t="n"/>
      <c r="M68" s="127" t="n"/>
      <c r="N68" s="125" t="n"/>
      <c r="O68" s="125" t="n"/>
      <c r="P68" s="125" t="n"/>
      <c r="Q68" s="127" t="n"/>
      <c r="R68" s="125" t="n"/>
      <c r="S68" s="125" t="n"/>
      <c r="T68" s="128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7" t="n"/>
      <c r="AF68" s="127" t="n"/>
      <c r="AG68" s="127" t="n"/>
    </row>
    <row r="69">
      <c r="A69" s="118">
        <f>IF(COUNTA(B69:AG69)=0,"待填写",IF(OR(B69="",C69="",D69="",E69="",F69="",AND(G69="",H69="",I69="",J69=""),M69="",N69="",P69="",NOT(ISNUMBER(Q69)),NOT(ISNUMBER(T69)),U69="",X69="",Y69="",Z69="",AA69="",AD69="",NOT(ISNUMBER(AE69)),NOT(ISNUMBER(AF69)),NOT(ISNUMBER(AG69))),"请补全必填",IF(OR(COUNTIF($B$5:$B$104,B69)&gt;1,COUNTIF($C$5:$C$104,C69)&gt;1),"ID重复",IF(COUNTIF('水晶主数据'!$B$5:$B$54,D69)=0,"关联不存在",IF(OR(ISNA(MATCH(F69,'_枚举'!$D$2:$D$7,0)),AND(L69&lt;&gt;"",ISNA(MATCH(L69,'_枚举'!$E$2:$E$6,0))),ISNA(MATCH(M69,'_枚举'!$A$2:$A$4,0)),ISNA(MATCH(N69,'_枚举'!$B$2:$B$5,0)),ISNA(MATCH(P69,'_枚举'!$F$2:$F$5,0)),ISNA(MATCH(Y69,'_枚举'!$C$2:$C$3,0)),ISNA(MATCH(Z69,'_枚举'!$C$2:$C$3,0)),ISNA(MATCH(AA69,'_枚举'!$C$2:$C$3,0)),ISNA(MATCH(AD69,'_枚举'!$G$2:$G$3,0))),"枚举错误",IF(OR(AND(G69&lt;&gt;"",OR(NOT(ISNUMBER(G69)),G69&lt;=0)),AND(H69&lt;&gt;"",OR(NOT(ISNUMBER(H69)),H69&lt;=0)),AND(I69&lt;&gt;"",OR(NOT(ISNUMBER(I69)),I69&lt;=0)),AND(J69&lt;&gt;"",OR(NOT(ISNUMBER(J69)),J69&lt;=0)),AND(K69&lt;&gt;"",OR(NOT(ISNUMBER(K69)),K69&lt;=0)),NOT(ISNUMBER(Q69)),Q69&lt;=0,AND(R69&lt;&gt;"",OR(NOT(ISNUMBER(R69)),R69&lt;=0)),AND(S69&lt;&gt;"",OR(NOT(ISNUMBER(S69)),S69&lt;=0)),NOT(ISNUMBER(T69)),T69&lt;0,T69&gt;1,NOT(ISNUMBER(AE69)),AE69&lt;0,NOT(ISNUMBER(AF69)),AF69&lt;0,NOT(ISNUMBER(AG69)),AG69&lt;0,AND(AB69&lt;&gt;"",NOT(ISNUMBER(AB69)))),"格式错误",IF(AND(Z69="TRUE",OR(Y69&lt;&gt;"TRUE",M69="UNKNOWN")),"待人工复核","可导入")))))))</f>
        <v/>
      </c>
      <c r="B69" s="125" t="n"/>
      <c r="C69" s="125" t="n"/>
      <c r="D69" s="125" t="n"/>
      <c r="E69" s="125" t="n"/>
      <c r="F69" s="125" t="n"/>
      <c r="G69" s="126" t="n"/>
      <c r="H69" s="126" t="n"/>
      <c r="I69" s="126" t="n"/>
      <c r="J69" s="126" t="n"/>
      <c r="K69" s="125" t="n"/>
      <c r="L69" s="127" t="n"/>
      <c r="M69" s="127" t="n"/>
      <c r="N69" s="125" t="n"/>
      <c r="O69" s="125" t="n"/>
      <c r="P69" s="125" t="n"/>
      <c r="Q69" s="127" t="n"/>
      <c r="R69" s="125" t="n"/>
      <c r="S69" s="125" t="n"/>
      <c r="T69" s="128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7" t="n"/>
      <c r="AF69" s="127" t="n"/>
      <c r="AG69" s="127" t="n"/>
    </row>
    <row r="70">
      <c r="A70" s="118">
        <f>IF(COUNTA(B70:AG70)=0,"待填写",IF(OR(B70="",C70="",D70="",E70="",F70="",AND(G70="",H70="",I70="",J70=""),M70="",N70="",P70="",NOT(ISNUMBER(Q70)),NOT(ISNUMBER(T70)),U70="",X70="",Y70="",Z70="",AA70="",AD70="",NOT(ISNUMBER(AE70)),NOT(ISNUMBER(AF70)),NOT(ISNUMBER(AG70))),"请补全必填",IF(OR(COUNTIF($B$5:$B$104,B70)&gt;1,COUNTIF($C$5:$C$104,C70)&gt;1),"ID重复",IF(COUNTIF('水晶主数据'!$B$5:$B$54,D70)=0,"关联不存在",IF(OR(ISNA(MATCH(F70,'_枚举'!$D$2:$D$7,0)),AND(L70&lt;&gt;"",ISNA(MATCH(L70,'_枚举'!$E$2:$E$6,0))),ISNA(MATCH(M70,'_枚举'!$A$2:$A$4,0)),ISNA(MATCH(N70,'_枚举'!$B$2:$B$5,0)),ISNA(MATCH(P70,'_枚举'!$F$2:$F$5,0)),ISNA(MATCH(Y70,'_枚举'!$C$2:$C$3,0)),ISNA(MATCH(Z70,'_枚举'!$C$2:$C$3,0)),ISNA(MATCH(AA70,'_枚举'!$C$2:$C$3,0)),ISNA(MATCH(AD70,'_枚举'!$G$2:$G$3,0))),"枚举错误",IF(OR(AND(G70&lt;&gt;"",OR(NOT(ISNUMBER(G70)),G70&lt;=0)),AND(H70&lt;&gt;"",OR(NOT(ISNUMBER(H70)),H70&lt;=0)),AND(I70&lt;&gt;"",OR(NOT(ISNUMBER(I70)),I70&lt;=0)),AND(J70&lt;&gt;"",OR(NOT(ISNUMBER(J70)),J70&lt;=0)),AND(K70&lt;&gt;"",OR(NOT(ISNUMBER(K70)),K70&lt;=0)),NOT(ISNUMBER(Q70)),Q70&lt;=0,AND(R70&lt;&gt;"",OR(NOT(ISNUMBER(R70)),R70&lt;=0)),AND(S70&lt;&gt;"",OR(NOT(ISNUMBER(S70)),S70&lt;=0)),NOT(ISNUMBER(T70)),T70&lt;0,T70&gt;1,NOT(ISNUMBER(AE70)),AE70&lt;0,NOT(ISNUMBER(AF70)),AF70&lt;0,NOT(ISNUMBER(AG70)),AG70&lt;0,AND(AB70&lt;&gt;"",NOT(ISNUMBER(AB70)))),"格式错误",IF(AND(Z70="TRUE",OR(Y70&lt;&gt;"TRUE",M70="UNKNOWN")),"待人工复核","可导入")))))))</f>
        <v/>
      </c>
      <c r="B70" s="125" t="n"/>
      <c r="C70" s="125" t="n"/>
      <c r="D70" s="125" t="n"/>
      <c r="E70" s="125" t="n"/>
      <c r="F70" s="125" t="n"/>
      <c r="G70" s="126" t="n"/>
      <c r="H70" s="126" t="n"/>
      <c r="I70" s="126" t="n"/>
      <c r="J70" s="126" t="n"/>
      <c r="K70" s="125" t="n"/>
      <c r="L70" s="127" t="n"/>
      <c r="M70" s="127" t="n"/>
      <c r="N70" s="125" t="n"/>
      <c r="O70" s="125" t="n"/>
      <c r="P70" s="125" t="n"/>
      <c r="Q70" s="127" t="n"/>
      <c r="R70" s="125" t="n"/>
      <c r="S70" s="125" t="n"/>
      <c r="T70" s="128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7" t="n"/>
      <c r="AF70" s="127" t="n"/>
      <c r="AG70" s="127" t="n"/>
    </row>
    <row r="71">
      <c r="A71" s="118">
        <f>IF(COUNTA(B71:AG71)=0,"待填写",IF(OR(B71="",C71="",D71="",E71="",F71="",AND(G71="",H71="",I71="",J71=""),M71="",N71="",P71="",NOT(ISNUMBER(Q71)),NOT(ISNUMBER(T71)),U71="",X71="",Y71="",Z71="",AA71="",AD71="",NOT(ISNUMBER(AE71)),NOT(ISNUMBER(AF71)),NOT(ISNUMBER(AG71))),"请补全必填",IF(OR(COUNTIF($B$5:$B$104,B71)&gt;1,COUNTIF($C$5:$C$104,C71)&gt;1),"ID重复",IF(COUNTIF('水晶主数据'!$B$5:$B$54,D71)=0,"关联不存在",IF(OR(ISNA(MATCH(F71,'_枚举'!$D$2:$D$7,0)),AND(L71&lt;&gt;"",ISNA(MATCH(L71,'_枚举'!$E$2:$E$6,0))),ISNA(MATCH(M71,'_枚举'!$A$2:$A$4,0)),ISNA(MATCH(N71,'_枚举'!$B$2:$B$5,0)),ISNA(MATCH(P71,'_枚举'!$F$2:$F$5,0)),ISNA(MATCH(Y71,'_枚举'!$C$2:$C$3,0)),ISNA(MATCH(Z71,'_枚举'!$C$2:$C$3,0)),ISNA(MATCH(AA71,'_枚举'!$C$2:$C$3,0)),ISNA(MATCH(AD71,'_枚举'!$G$2:$G$3,0))),"枚举错误",IF(OR(AND(G71&lt;&gt;"",OR(NOT(ISNUMBER(G71)),G71&lt;=0)),AND(H71&lt;&gt;"",OR(NOT(ISNUMBER(H71)),H71&lt;=0)),AND(I71&lt;&gt;"",OR(NOT(ISNUMBER(I71)),I71&lt;=0)),AND(J71&lt;&gt;"",OR(NOT(ISNUMBER(J71)),J71&lt;=0)),AND(K71&lt;&gt;"",OR(NOT(ISNUMBER(K71)),K71&lt;=0)),NOT(ISNUMBER(Q71)),Q71&lt;=0,AND(R71&lt;&gt;"",OR(NOT(ISNUMBER(R71)),R71&lt;=0)),AND(S71&lt;&gt;"",OR(NOT(ISNUMBER(S71)),S71&lt;=0)),NOT(ISNUMBER(T71)),T71&lt;0,T71&gt;1,NOT(ISNUMBER(AE71)),AE71&lt;0,NOT(ISNUMBER(AF71)),AF71&lt;0,NOT(ISNUMBER(AG71)),AG71&lt;0,AND(AB71&lt;&gt;"",NOT(ISNUMBER(AB71)))),"格式错误",IF(AND(Z71="TRUE",OR(Y71&lt;&gt;"TRUE",M71="UNKNOWN")),"待人工复核","可导入")))))))</f>
        <v/>
      </c>
      <c r="B71" s="125" t="n"/>
      <c r="C71" s="125" t="n"/>
      <c r="D71" s="125" t="n"/>
      <c r="E71" s="125" t="n"/>
      <c r="F71" s="125" t="n"/>
      <c r="G71" s="126" t="n"/>
      <c r="H71" s="126" t="n"/>
      <c r="I71" s="126" t="n"/>
      <c r="J71" s="126" t="n"/>
      <c r="K71" s="125" t="n"/>
      <c r="L71" s="127" t="n"/>
      <c r="M71" s="127" t="n"/>
      <c r="N71" s="125" t="n"/>
      <c r="O71" s="125" t="n"/>
      <c r="P71" s="125" t="n"/>
      <c r="Q71" s="127" t="n"/>
      <c r="R71" s="125" t="n"/>
      <c r="S71" s="125" t="n"/>
      <c r="T71" s="128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7" t="n"/>
      <c r="AF71" s="127" t="n"/>
      <c r="AG71" s="127" t="n"/>
    </row>
    <row r="72">
      <c r="A72" s="118">
        <f>IF(COUNTA(B72:AG72)=0,"待填写",IF(OR(B72="",C72="",D72="",E72="",F72="",AND(G72="",H72="",I72="",J72=""),M72="",N72="",P72="",NOT(ISNUMBER(Q72)),NOT(ISNUMBER(T72)),U72="",X72="",Y72="",Z72="",AA72="",AD72="",NOT(ISNUMBER(AE72)),NOT(ISNUMBER(AF72)),NOT(ISNUMBER(AG72))),"请补全必填",IF(OR(COUNTIF($B$5:$B$104,B72)&gt;1,COUNTIF($C$5:$C$104,C72)&gt;1),"ID重复",IF(COUNTIF('水晶主数据'!$B$5:$B$54,D72)=0,"关联不存在",IF(OR(ISNA(MATCH(F72,'_枚举'!$D$2:$D$7,0)),AND(L72&lt;&gt;"",ISNA(MATCH(L72,'_枚举'!$E$2:$E$6,0))),ISNA(MATCH(M72,'_枚举'!$A$2:$A$4,0)),ISNA(MATCH(N72,'_枚举'!$B$2:$B$5,0)),ISNA(MATCH(P72,'_枚举'!$F$2:$F$5,0)),ISNA(MATCH(Y72,'_枚举'!$C$2:$C$3,0)),ISNA(MATCH(Z72,'_枚举'!$C$2:$C$3,0)),ISNA(MATCH(AA72,'_枚举'!$C$2:$C$3,0)),ISNA(MATCH(AD72,'_枚举'!$G$2:$G$3,0))),"枚举错误",IF(OR(AND(G72&lt;&gt;"",OR(NOT(ISNUMBER(G72)),G72&lt;=0)),AND(H72&lt;&gt;"",OR(NOT(ISNUMBER(H72)),H72&lt;=0)),AND(I72&lt;&gt;"",OR(NOT(ISNUMBER(I72)),I72&lt;=0)),AND(J72&lt;&gt;"",OR(NOT(ISNUMBER(J72)),J72&lt;=0)),AND(K72&lt;&gt;"",OR(NOT(ISNUMBER(K72)),K72&lt;=0)),NOT(ISNUMBER(Q72)),Q72&lt;=0,AND(R72&lt;&gt;"",OR(NOT(ISNUMBER(R72)),R72&lt;=0)),AND(S72&lt;&gt;"",OR(NOT(ISNUMBER(S72)),S72&lt;=0)),NOT(ISNUMBER(T72)),T72&lt;0,T72&gt;1,NOT(ISNUMBER(AE72)),AE72&lt;0,NOT(ISNUMBER(AF72)),AF72&lt;0,NOT(ISNUMBER(AG72)),AG72&lt;0,AND(AB72&lt;&gt;"",NOT(ISNUMBER(AB72)))),"格式错误",IF(AND(Z72="TRUE",OR(Y72&lt;&gt;"TRUE",M72="UNKNOWN")),"待人工复核","可导入")))))))</f>
        <v/>
      </c>
      <c r="B72" s="125" t="n"/>
      <c r="C72" s="125" t="n"/>
      <c r="D72" s="125" t="n"/>
      <c r="E72" s="125" t="n"/>
      <c r="F72" s="125" t="n"/>
      <c r="G72" s="126" t="n"/>
      <c r="H72" s="126" t="n"/>
      <c r="I72" s="126" t="n"/>
      <c r="J72" s="126" t="n"/>
      <c r="K72" s="125" t="n"/>
      <c r="L72" s="127" t="n"/>
      <c r="M72" s="127" t="n"/>
      <c r="N72" s="125" t="n"/>
      <c r="O72" s="125" t="n"/>
      <c r="P72" s="125" t="n"/>
      <c r="Q72" s="127" t="n"/>
      <c r="R72" s="125" t="n"/>
      <c r="S72" s="125" t="n"/>
      <c r="T72" s="128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7" t="n"/>
      <c r="AF72" s="127" t="n"/>
      <c r="AG72" s="127" t="n"/>
    </row>
    <row r="73">
      <c r="A73" s="118">
        <f>IF(COUNTA(B73:AG73)=0,"待填写",IF(OR(B73="",C73="",D73="",E73="",F73="",AND(G73="",H73="",I73="",J73=""),M73="",N73="",P73="",NOT(ISNUMBER(Q73)),NOT(ISNUMBER(T73)),U73="",X73="",Y73="",Z73="",AA73="",AD73="",NOT(ISNUMBER(AE73)),NOT(ISNUMBER(AF73)),NOT(ISNUMBER(AG73))),"请补全必填",IF(OR(COUNTIF($B$5:$B$104,B73)&gt;1,COUNTIF($C$5:$C$104,C73)&gt;1),"ID重复",IF(COUNTIF('水晶主数据'!$B$5:$B$54,D73)=0,"关联不存在",IF(OR(ISNA(MATCH(F73,'_枚举'!$D$2:$D$7,0)),AND(L73&lt;&gt;"",ISNA(MATCH(L73,'_枚举'!$E$2:$E$6,0))),ISNA(MATCH(M73,'_枚举'!$A$2:$A$4,0)),ISNA(MATCH(N73,'_枚举'!$B$2:$B$5,0)),ISNA(MATCH(P73,'_枚举'!$F$2:$F$5,0)),ISNA(MATCH(Y73,'_枚举'!$C$2:$C$3,0)),ISNA(MATCH(Z73,'_枚举'!$C$2:$C$3,0)),ISNA(MATCH(AA73,'_枚举'!$C$2:$C$3,0)),ISNA(MATCH(AD73,'_枚举'!$G$2:$G$3,0))),"枚举错误",IF(OR(AND(G73&lt;&gt;"",OR(NOT(ISNUMBER(G73)),G73&lt;=0)),AND(H73&lt;&gt;"",OR(NOT(ISNUMBER(H73)),H73&lt;=0)),AND(I73&lt;&gt;"",OR(NOT(ISNUMBER(I73)),I73&lt;=0)),AND(J73&lt;&gt;"",OR(NOT(ISNUMBER(J73)),J73&lt;=0)),AND(K73&lt;&gt;"",OR(NOT(ISNUMBER(K73)),K73&lt;=0)),NOT(ISNUMBER(Q73)),Q73&lt;=0,AND(R73&lt;&gt;"",OR(NOT(ISNUMBER(R73)),R73&lt;=0)),AND(S73&lt;&gt;"",OR(NOT(ISNUMBER(S73)),S73&lt;=0)),NOT(ISNUMBER(T73)),T73&lt;0,T73&gt;1,NOT(ISNUMBER(AE73)),AE73&lt;0,NOT(ISNUMBER(AF73)),AF73&lt;0,NOT(ISNUMBER(AG73)),AG73&lt;0,AND(AB73&lt;&gt;"",NOT(ISNUMBER(AB73)))),"格式错误",IF(AND(Z73="TRUE",OR(Y73&lt;&gt;"TRUE",M73="UNKNOWN")),"待人工复核","可导入")))))))</f>
        <v/>
      </c>
      <c r="B73" s="125" t="n"/>
      <c r="C73" s="125" t="n"/>
      <c r="D73" s="125" t="n"/>
      <c r="E73" s="125" t="n"/>
      <c r="F73" s="125" t="n"/>
      <c r="G73" s="126" t="n"/>
      <c r="H73" s="126" t="n"/>
      <c r="I73" s="126" t="n"/>
      <c r="J73" s="126" t="n"/>
      <c r="K73" s="125" t="n"/>
      <c r="L73" s="127" t="n"/>
      <c r="M73" s="127" t="n"/>
      <c r="N73" s="125" t="n"/>
      <c r="O73" s="125" t="n"/>
      <c r="P73" s="125" t="n"/>
      <c r="Q73" s="127" t="n"/>
      <c r="R73" s="125" t="n"/>
      <c r="S73" s="125" t="n"/>
      <c r="T73" s="128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7" t="n"/>
      <c r="AF73" s="127" t="n"/>
      <c r="AG73" s="127" t="n"/>
    </row>
    <row r="74">
      <c r="A74" s="118">
        <f>IF(COUNTA(B74:AG74)=0,"待填写",IF(OR(B74="",C74="",D74="",E74="",F74="",AND(G74="",H74="",I74="",J74=""),M74="",N74="",P74="",NOT(ISNUMBER(Q74)),NOT(ISNUMBER(T74)),U74="",X74="",Y74="",Z74="",AA74="",AD74="",NOT(ISNUMBER(AE74)),NOT(ISNUMBER(AF74)),NOT(ISNUMBER(AG74))),"请补全必填",IF(OR(COUNTIF($B$5:$B$104,B74)&gt;1,COUNTIF($C$5:$C$104,C74)&gt;1),"ID重复",IF(COUNTIF('水晶主数据'!$B$5:$B$54,D74)=0,"关联不存在",IF(OR(ISNA(MATCH(F74,'_枚举'!$D$2:$D$7,0)),AND(L74&lt;&gt;"",ISNA(MATCH(L74,'_枚举'!$E$2:$E$6,0))),ISNA(MATCH(M74,'_枚举'!$A$2:$A$4,0)),ISNA(MATCH(N74,'_枚举'!$B$2:$B$5,0)),ISNA(MATCH(P74,'_枚举'!$F$2:$F$5,0)),ISNA(MATCH(Y74,'_枚举'!$C$2:$C$3,0)),ISNA(MATCH(Z74,'_枚举'!$C$2:$C$3,0)),ISNA(MATCH(AA74,'_枚举'!$C$2:$C$3,0)),ISNA(MATCH(AD74,'_枚举'!$G$2:$G$3,0))),"枚举错误",IF(OR(AND(G74&lt;&gt;"",OR(NOT(ISNUMBER(G74)),G74&lt;=0)),AND(H74&lt;&gt;"",OR(NOT(ISNUMBER(H74)),H74&lt;=0)),AND(I74&lt;&gt;"",OR(NOT(ISNUMBER(I74)),I74&lt;=0)),AND(J74&lt;&gt;"",OR(NOT(ISNUMBER(J74)),J74&lt;=0)),AND(K74&lt;&gt;"",OR(NOT(ISNUMBER(K74)),K74&lt;=0)),NOT(ISNUMBER(Q74)),Q74&lt;=0,AND(R74&lt;&gt;"",OR(NOT(ISNUMBER(R74)),R74&lt;=0)),AND(S74&lt;&gt;"",OR(NOT(ISNUMBER(S74)),S74&lt;=0)),NOT(ISNUMBER(T74)),T74&lt;0,T74&gt;1,NOT(ISNUMBER(AE74)),AE74&lt;0,NOT(ISNUMBER(AF74)),AF74&lt;0,NOT(ISNUMBER(AG74)),AG74&lt;0,AND(AB74&lt;&gt;"",NOT(ISNUMBER(AB74)))),"格式错误",IF(AND(Z74="TRUE",OR(Y74&lt;&gt;"TRUE",M74="UNKNOWN")),"待人工复核","可导入")))))))</f>
        <v/>
      </c>
      <c r="B74" s="125" t="n"/>
      <c r="C74" s="125" t="n"/>
      <c r="D74" s="125" t="n"/>
      <c r="E74" s="125" t="n"/>
      <c r="F74" s="125" t="n"/>
      <c r="G74" s="126" t="n"/>
      <c r="H74" s="126" t="n"/>
      <c r="I74" s="126" t="n"/>
      <c r="J74" s="126" t="n"/>
      <c r="K74" s="125" t="n"/>
      <c r="L74" s="127" t="n"/>
      <c r="M74" s="127" t="n"/>
      <c r="N74" s="125" t="n"/>
      <c r="O74" s="125" t="n"/>
      <c r="P74" s="125" t="n"/>
      <c r="Q74" s="127" t="n"/>
      <c r="R74" s="125" t="n"/>
      <c r="S74" s="125" t="n"/>
      <c r="T74" s="128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7" t="n"/>
      <c r="AF74" s="127" t="n"/>
      <c r="AG74" s="127" t="n"/>
    </row>
    <row r="75">
      <c r="A75" s="118">
        <f>IF(COUNTA(B75:AG75)=0,"待填写",IF(OR(B75="",C75="",D75="",E75="",F75="",AND(G75="",H75="",I75="",J75=""),M75="",N75="",P75="",NOT(ISNUMBER(Q75)),NOT(ISNUMBER(T75)),U75="",X75="",Y75="",Z75="",AA75="",AD75="",NOT(ISNUMBER(AE75)),NOT(ISNUMBER(AF75)),NOT(ISNUMBER(AG75))),"请补全必填",IF(OR(COUNTIF($B$5:$B$104,B75)&gt;1,COUNTIF($C$5:$C$104,C75)&gt;1),"ID重复",IF(COUNTIF('水晶主数据'!$B$5:$B$54,D75)=0,"关联不存在",IF(OR(ISNA(MATCH(F75,'_枚举'!$D$2:$D$7,0)),AND(L75&lt;&gt;"",ISNA(MATCH(L75,'_枚举'!$E$2:$E$6,0))),ISNA(MATCH(M75,'_枚举'!$A$2:$A$4,0)),ISNA(MATCH(N75,'_枚举'!$B$2:$B$5,0)),ISNA(MATCH(P75,'_枚举'!$F$2:$F$5,0)),ISNA(MATCH(Y75,'_枚举'!$C$2:$C$3,0)),ISNA(MATCH(Z75,'_枚举'!$C$2:$C$3,0)),ISNA(MATCH(AA75,'_枚举'!$C$2:$C$3,0)),ISNA(MATCH(AD75,'_枚举'!$G$2:$G$3,0))),"枚举错误",IF(OR(AND(G75&lt;&gt;"",OR(NOT(ISNUMBER(G75)),G75&lt;=0)),AND(H75&lt;&gt;"",OR(NOT(ISNUMBER(H75)),H75&lt;=0)),AND(I75&lt;&gt;"",OR(NOT(ISNUMBER(I75)),I75&lt;=0)),AND(J75&lt;&gt;"",OR(NOT(ISNUMBER(J75)),J75&lt;=0)),AND(K75&lt;&gt;"",OR(NOT(ISNUMBER(K75)),K75&lt;=0)),NOT(ISNUMBER(Q75)),Q75&lt;=0,AND(R75&lt;&gt;"",OR(NOT(ISNUMBER(R75)),R75&lt;=0)),AND(S75&lt;&gt;"",OR(NOT(ISNUMBER(S75)),S75&lt;=0)),NOT(ISNUMBER(T75)),T75&lt;0,T75&gt;1,NOT(ISNUMBER(AE75)),AE75&lt;0,NOT(ISNUMBER(AF75)),AF75&lt;0,NOT(ISNUMBER(AG75)),AG75&lt;0,AND(AB75&lt;&gt;"",NOT(ISNUMBER(AB75)))),"格式错误",IF(AND(Z75="TRUE",OR(Y75&lt;&gt;"TRUE",M75="UNKNOWN")),"待人工复核","可导入")))))))</f>
        <v/>
      </c>
      <c r="B75" s="125" t="n"/>
      <c r="C75" s="125" t="n"/>
      <c r="D75" s="125" t="n"/>
      <c r="E75" s="125" t="n"/>
      <c r="F75" s="125" t="n"/>
      <c r="G75" s="126" t="n"/>
      <c r="H75" s="126" t="n"/>
      <c r="I75" s="126" t="n"/>
      <c r="J75" s="126" t="n"/>
      <c r="K75" s="125" t="n"/>
      <c r="L75" s="127" t="n"/>
      <c r="M75" s="127" t="n"/>
      <c r="N75" s="125" t="n"/>
      <c r="O75" s="125" t="n"/>
      <c r="P75" s="125" t="n"/>
      <c r="Q75" s="127" t="n"/>
      <c r="R75" s="125" t="n"/>
      <c r="S75" s="125" t="n"/>
      <c r="T75" s="128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7" t="n"/>
      <c r="AF75" s="127" t="n"/>
      <c r="AG75" s="127" t="n"/>
    </row>
    <row r="76">
      <c r="A76" s="118">
        <f>IF(COUNTA(B76:AG76)=0,"待填写",IF(OR(B76="",C76="",D76="",E76="",F76="",AND(G76="",H76="",I76="",J76=""),M76="",N76="",P76="",NOT(ISNUMBER(Q76)),NOT(ISNUMBER(T76)),U76="",X76="",Y76="",Z76="",AA76="",AD76="",NOT(ISNUMBER(AE76)),NOT(ISNUMBER(AF76)),NOT(ISNUMBER(AG76))),"请补全必填",IF(OR(COUNTIF($B$5:$B$104,B76)&gt;1,COUNTIF($C$5:$C$104,C76)&gt;1),"ID重复",IF(COUNTIF('水晶主数据'!$B$5:$B$54,D76)=0,"关联不存在",IF(OR(ISNA(MATCH(F76,'_枚举'!$D$2:$D$7,0)),AND(L76&lt;&gt;"",ISNA(MATCH(L76,'_枚举'!$E$2:$E$6,0))),ISNA(MATCH(M76,'_枚举'!$A$2:$A$4,0)),ISNA(MATCH(N76,'_枚举'!$B$2:$B$5,0)),ISNA(MATCH(P76,'_枚举'!$F$2:$F$5,0)),ISNA(MATCH(Y76,'_枚举'!$C$2:$C$3,0)),ISNA(MATCH(Z76,'_枚举'!$C$2:$C$3,0)),ISNA(MATCH(AA76,'_枚举'!$C$2:$C$3,0)),ISNA(MATCH(AD76,'_枚举'!$G$2:$G$3,0))),"枚举错误",IF(OR(AND(G76&lt;&gt;"",OR(NOT(ISNUMBER(G76)),G76&lt;=0)),AND(H76&lt;&gt;"",OR(NOT(ISNUMBER(H76)),H76&lt;=0)),AND(I76&lt;&gt;"",OR(NOT(ISNUMBER(I76)),I76&lt;=0)),AND(J76&lt;&gt;"",OR(NOT(ISNUMBER(J76)),J76&lt;=0)),AND(K76&lt;&gt;"",OR(NOT(ISNUMBER(K76)),K76&lt;=0)),NOT(ISNUMBER(Q76)),Q76&lt;=0,AND(R76&lt;&gt;"",OR(NOT(ISNUMBER(R76)),R76&lt;=0)),AND(S76&lt;&gt;"",OR(NOT(ISNUMBER(S76)),S76&lt;=0)),NOT(ISNUMBER(T76)),T76&lt;0,T76&gt;1,NOT(ISNUMBER(AE76)),AE76&lt;0,NOT(ISNUMBER(AF76)),AF76&lt;0,NOT(ISNUMBER(AG76)),AG76&lt;0,AND(AB76&lt;&gt;"",NOT(ISNUMBER(AB76)))),"格式错误",IF(AND(Z76="TRUE",OR(Y76&lt;&gt;"TRUE",M76="UNKNOWN")),"待人工复核","可导入")))))))</f>
        <v/>
      </c>
      <c r="B76" s="125" t="n"/>
      <c r="C76" s="125" t="n"/>
      <c r="D76" s="125" t="n"/>
      <c r="E76" s="125" t="n"/>
      <c r="F76" s="125" t="n"/>
      <c r="G76" s="126" t="n"/>
      <c r="H76" s="126" t="n"/>
      <c r="I76" s="126" t="n"/>
      <c r="J76" s="126" t="n"/>
      <c r="K76" s="125" t="n"/>
      <c r="L76" s="127" t="n"/>
      <c r="M76" s="127" t="n"/>
      <c r="N76" s="125" t="n"/>
      <c r="O76" s="125" t="n"/>
      <c r="P76" s="125" t="n"/>
      <c r="Q76" s="127" t="n"/>
      <c r="R76" s="125" t="n"/>
      <c r="S76" s="125" t="n"/>
      <c r="T76" s="128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7" t="n"/>
      <c r="AF76" s="127" t="n"/>
      <c r="AG76" s="127" t="n"/>
    </row>
    <row r="77">
      <c r="A77" s="118">
        <f>IF(COUNTA(B77:AG77)=0,"待填写",IF(OR(B77="",C77="",D77="",E77="",F77="",AND(G77="",H77="",I77="",J77=""),M77="",N77="",P77="",NOT(ISNUMBER(Q77)),NOT(ISNUMBER(T77)),U77="",X77="",Y77="",Z77="",AA77="",AD77="",NOT(ISNUMBER(AE77)),NOT(ISNUMBER(AF77)),NOT(ISNUMBER(AG77))),"请补全必填",IF(OR(COUNTIF($B$5:$B$104,B77)&gt;1,COUNTIF($C$5:$C$104,C77)&gt;1),"ID重复",IF(COUNTIF('水晶主数据'!$B$5:$B$54,D77)=0,"关联不存在",IF(OR(ISNA(MATCH(F77,'_枚举'!$D$2:$D$7,0)),AND(L77&lt;&gt;"",ISNA(MATCH(L77,'_枚举'!$E$2:$E$6,0))),ISNA(MATCH(M77,'_枚举'!$A$2:$A$4,0)),ISNA(MATCH(N77,'_枚举'!$B$2:$B$5,0)),ISNA(MATCH(P77,'_枚举'!$F$2:$F$5,0)),ISNA(MATCH(Y77,'_枚举'!$C$2:$C$3,0)),ISNA(MATCH(Z77,'_枚举'!$C$2:$C$3,0)),ISNA(MATCH(AA77,'_枚举'!$C$2:$C$3,0)),ISNA(MATCH(AD77,'_枚举'!$G$2:$G$3,0))),"枚举错误",IF(OR(AND(G77&lt;&gt;"",OR(NOT(ISNUMBER(G77)),G77&lt;=0)),AND(H77&lt;&gt;"",OR(NOT(ISNUMBER(H77)),H77&lt;=0)),AND(I77&lt;&gt;"",OR(NOT(ISNUMBER(I77)),I77&lt;=0)),AND(J77&lt;&gt;"",OR(NOT(ISNUMBER(J77)),J77&lt;=0)),AND(K77&lt;&gt;"",OR(NOT(ISNUMBER(K77)),K77&lt;=0)),NOT(ISNUMBER(Q77)),Q77&lt;=0,AND(R77&lt;&gt;"",OR(NOT(ISNUMBER(R77)),R77&lt;=0)),AND(S77&lt;&gt;"",OR(NOT(ISNUMBER(S77)),S77&lt;=0)),NOT(ISNUMBER(T77)),T77&lt;0,T77&gt;1,NOT(ISNUMBER(AE77)),AE77&lt;0,NOT(ISNUMBER(AF77)),AF77&lt;0,NOT(ISNUMBER(AG77)),AG77&lt;0,AND(AB77&lt;&gt;"",NOT(ISNUMBER(AB77)))),"格式错误",IF(AND(Z77="TRUE",OR(Y77&lt;&gt;"TRUE",M77="UNKNOWN")),"待人工复核","可导入")))))))</f>
        <v/>
      </c>
      <c r="B77" s="125" t="n"/>
      <c r="C77" s="125" t="n"/>
      <c r="D77" s="125" t="n"/>
      <c r="E77" s="125" t="n"/>
      <c r="F77" s="125" t="n"/>
      <c r="G77" s="126" t="n"/>
      <c r="H77" s="126" t="n"/>
      <c r="I77" s="126" t="n"/>
      <c r="J77" s="126" t="n"/>
      <c r="K77" s="125" t="n"/>
      <c r="L77" s="127" t="n"/>
      <c r="M77" s="127" t="n"/>
      <c r="N77" s="125" t="n"/>
      <c r="O77" s="125" t="n"/>
      <c r="P77" s="125" t="n"/>
      <c r="Q77" s="127" t="n"/>
      <c r="R77" s="125" t="n"/>
      <c r="S77" s="125" t="n"/>
      <c r="T77" s="128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7" t="n"/>
      <c r="AF77" s="127" t="n"/>
      <c r="AG77" s="127" t="n"/>
    </row>
    <row r="78">
      <c r="A78" s="118">
        <f>IF(COUNTA(B78:AG78)=0,"待填写",IF(OR(B78="",C78="",D78="",E78="",F78="",AND(G78="",H78="",I78="",J78=""),M78="",N78="",P78="",NOT(ISNUMBER(Q78)),NOT(ISNUMBER(T78)),U78="",X78="",Y78="",Z78="",AA78="",AD78="",NOT(ISNUMBER(AE78)),NOT(ISNUMBER(AF78)),NOT(ISNUMBER(AG78))),"请补全必填",IF(OR(COUNTIF($B$5:$B$104,B78)&gt;1,COUNTIF($C$5:$C$104,C78)&gt;1),"ID重复",IF(COUNTIF('水晶主数据'!$B$5:$B$54,D78)=0,"关联不存在",IF(OR(ISNA(MATCH(F78,'_枚举'!$D$2:$D$7,0)),AND(L78&lt;&gt;"",ISNA(MATCH(L78,'_枚举'!$E$2:$E$6,0))),ISNA(MATCH(M78,'_枚举'!$A$2:$A$4,0)),ISNA(MATCH(N78,'_枚举'!$B$2:$B$5,0)),ISNA(MATCH(P78,'_枚举'!$F$2:$F$5,0)),ISNA(MATCH(Y78,'_枚举'!$C$2:$C$3,0)),ISNA(MATCH(Z78,'_枚举'!$C$2:$C$3,0)),ISNA(MATCH(AA78,'_枚举'!$C$2:$C$3,0)),ISNA(MATCH(AD78,'_枚举'!$G$2:$G$3,0))),"枚举错误",IF(OR(AND(G78&lt;&gt;"",OR(NOT(ISNUMBER(G78)),G78&lt;=0)),AND(H78&lt;&gt;"",OR(NOT(ISNUMBER(H78)),H78&lt;=0)),AND(I78&lt;&gt;"",OR(NOT(ISNUMBER(I78)),I78&lt;=0)),AND(J78&lt;&gt;"",OR(NOT(ISNUMBER(J78)),J78&lt;=0)),AND(K78&lt;&gt;"",OR(NOT(ISNUMBER(K78)),K78&lt;=0)),NOT(ISNUMBER(Q78)),Q78&lt;=0,AND(R78&lt;&gt;"",OR(NOT(ISNUMBER(R78)),R78&lt;=0)),AND(S78&lt;&gt;"",OR(NOT(ISNUMBER(S78)),S78&lt;=0)),NOT(ISNUMBER(T78)),T78&lt;0,T78&gt;1,NOT(ISNUMBER(AE78)),AE78&lt;0,NOT(ISNUMBER(AF78)),AF78&lt;0,NOT(ISNUMBER(AG78)),AG78&lt;0,AND(AB78&lt;&gt;"",NOT(ISNUMBER(AB78)))),"格式错误",IF(AND(Z78="TRUE",OR(Y78&lt;&gt;"TRUE",M78="UNKNOWN")),"待人工复核","可导入")))))))</f>
        <v/>
      </c>
      <c r="B78" s="125" t="n"/>
      <c r="C78" s="125" t="n"/>
      <c r="D78" s="125" t="n"/>
      <c r="E78" s="125" t="n"/>
      <c r="F78" s="125" t="n"/>
      <c r="G78" s="126" t="n"/>
      <c r="H78" s="126" t="n"/>
      <c r="I78" s="126" t="n"/>
      <c r="J78" s="126" t="n"/>
      <c r="K78" s="125" t="n"/>
      <c r="L78" s="127" t="n"/>
      <c r="M78" s="127" t="n"/>
      <c r="N78" s="125" t="n"/>
      <c r="O78" s="125" t="n"/>
      <c r="P78" s="125" t="n"/>
      <c r="Q78" s="127" t="n"/>
      <c r="R78" s="125" t="n"/>
      <c r="S78" s="125" t="n"/>
      <c r="T78" s="128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7" t="n"/>
      <c r="AF78" s="127" t="n"/>
      <c r="AG78" s="127" t="n"/>
    </row>
    <row r="79">
      <c r="A79" s="118">
        <f>IF(COUNTA(B79:AG79)=0,"待填写",IF(OR(B79="",C79="",D79="",E79="",F79="",AND(G79="",H79="",I79="",J79=""),M79="",N79="",P79="",NOT(ISNUMBER(Q79)),NOT(ISNUMBER(T79)),U79="",X79="",Y79="",Z79="",AA79="",AD79="",NOT(ISNUMBER(AE79)),NOT(ISNUMBER(AF79)),NOT(ISNUMBER(AG79))),"请补全必填",IF(OR(COUNTIF($B$5:$B$104,B79)&gt;1,COUNTIF($C$5:$C$104,C79)&gt;1),"ID重复",IF(COUNTIF('水晶主数据'!$B$5:$B$54,D79)=0,"关联不存在",IF(OR(ISNA(MATCH(F79,'_枚举'!$D$2:$D$7,0)),AND(L79&lt;&gt;"",ISNA(MATCH(L79,'_枚举'!$E$2:$E$6,0))),ISNA(MATCH(M79,'_枚举'!$A$2:$A$4,0)),ISNA(MATCH(N79,'_枚举'!$B$2:$B$5,0)),ISNA(MATCH(P79,'_枚举'!$F$2:$F$5,0)),ISNA(MATCH(Y79,'_枚举'!$C$2:$C$3,0)),ISNA(MATCH(Z79,'_枚举'!$C$2:$C$3,0)),ISNA(MATCH(AA79,'_枚举'!$C$2:$C$3,0)),ISNA(MATCH(AD79,'_枚举'!$G$2:$G$3,0))),"枚举错误",IF(OR(AND(G79&lt;&gt;"",OR(NOT(ISNUMBER(G79)),G79&lt;=0)),AND(H79&lt;&gt;"",OR(NOT(ISNUMBER(H79)),H79&lt;=0)),AND(I79&lt;&gt;"",OR(NOT(ISNUMBER(I79)),I79&lt;=0)),AND(J79&lt;&gt;"",OR(NOT(ISNUMBER(J79)),J79&lt;=0)),AND(K79&lt;&gt;"",OR(NOT(ISNUMBER(K79)),K79&lt;=0)),NOT(ISNUMBER(Q79)),Q79&lt;=0,AND(R79&lt;&gt;"",OR(NOT(ISNUMBER(R79)),R79&lt;=0)),AND(S79&lt;&gt;"",OR(NOT(ISNUMBER(S79)),S79&lt;=0)),NOT(ISNUMBER(T79)),T79&lt;0,T79&gt;1,NOT(ISNUMBER(AE79)),AE79&lt;0,NOT(ISNUMBER(AF79)),AF79&lt;0,NOT(ISNUMBER(AG79)),AG79&lt;0,AND(AB79&lt;&gt;"",NOT(ISNUMBER(AB79)))),"格式错误",IF(AND(Z79="TRUE",OR(Y79&lt;&gt;"TRUE",M79="UNKNOWN")),"待人工复核","可导入")))))))</f>
        <v/>
      </c>
      <c r="B79" s="125" t="n"/>
      <c r="C79" s="125" t="n"/>
      <c r="D79" s="125" t="n"/>
      <c r="E79" s="125" t="n"/>
      <c r="F79" s="125" t="n"/>
      <c r="G79" s="126" t="n"/>
      <c r="H79" s="126" t="n"/>
      <c r="I79" s="126" t="n"/>
      <c r="J79" s="126" t="n"/>
      <c r="K79" s="125" t="n"/>
      <c r="L79" s="127" t="n"/>
      <c r="M79" s="127" t="n"/>
      <c r="N79" s="125" t="n"/>
      <c r="O79" s="125" t="n"/>
      <c r="P79" s="125" t="n"/>
      <c r="Q79" s="127" t="n"/>
      <c r="R79" s="125" t="n"/>
      <c r="S79" s="125" t="n"/>
      <c r="T79" s="128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7" t="n"/>
      <c r="AF79" s="127" t="n"/>
      <c r="AG79" s="127" t="n"/>
    </row>
    <row r="80">
      <c r="A80" s="118">
        <f>IF(COUNTA(B80:AG80)=0,"待填写",IF(OR(B80="",C80="",D80="",E80="",F80="",AND(G80="",H80="",I80="",J80=""),M80="",N80="",P80="",NOT(ISNUMBER(Q80)),NOT(ISNUMBER(T80)),U80="",X80="",Y80="",Z80="",AA80="",AD80="",NOT(ISNUMBER(AE80)),NOT(ISNUMBER(AF80)),NOT(ISNUMBER(AG80))),"请补全必填",IF(OR(COUNTIF($B$5:$B$104,B80)&gt;1,COUNTIF($C$5:$C$104,C80)&gt;1),"ID重复",IF(COUNTIF('水晶主数据'!$B$5:$B$54,D80)=0,"关联不存在",IF(OR(ISNA(MATCH(F80,'_枚举'!$D$2:$D$7,0)),AND(L80&lt;&gt;"",ISNA(MATCH(L80,'_枚举'!$E$2:$E$6,0))),ISNA(MATCH(M80,'_枚举'!$A$2:$A$4,0)),ISNA(MATCH(N80,'_枚举'!$B$2:$B$5,0)),ISNA(MATCH(P80,'_枚举'!$F$2:$F$5,0)),ISNA(MATCH(Y80,'_枚举'!$C$2:$C$3,0)),ISNA(MATCH(Z80,'_枚举'!$C$2:$C$3,0)),ISNA(MATCH(AA80,'_枚举'!$C$2:$C$3,0)),ISNA(MATCH(AD80,'_枚举'!$G$2:$G$3,0))),"枚举错误",IF(OR(AND(G80&lt;&gt;"",OR(NOT(ISNUMBER(G80)),G80&lt;=0)),AND(H80&lt;&gt;"",OR(NOT(ISNUMBER(H80)),H80&lt;=0)),AND(I80&lt;&gt;"",OR(NOT(ISNUMBER(I80)),I80&lt;=0)),AND(J80&lt;&gt;"",OR(NOT(ISNUMBER(J80)),J80&lt;=0)),AND(K80&lt;&gt;"",OR(NOT(ISNUMBER(K80)),K80&lt;=0)),NOT(ISNUMBER(Q80)),Q80&lt;=0,AND(R80&lt;&gt;"",OR(NOT(ISNUMBER(R80)),R80&lt;=0)),AND(S80&lt;&gt;"",OR(NOT(ISNUMBER(S80)),S80&lt;=0)),NOT(ISNUMBER(T80)),T80&lt;0,T80&gt;1,NOT(ISNUMBER(AE80)),AE80&lt;0,NOT(ISNUMBER(AF80)),AF80&lt;0,NOT(ISNUMBER(AG80)),AG80&lt;0,AND(AB80&lt;&gt;"",NOT(ISNUMBER(AB80)))),"格式错误",IF(AND(Z80="TRUE",OR(Y80&lt;&gt;"TRUE",M80="UNKNOWN")),"待人工复核","可导入")))))))</f>
        <v/>
      </c>
      <c r="B80" s="125" t="n"/>
      <c r="C80" s="125" t="n"/>
      <c r="D80" s="125" t="n"/>
      <c r="E80" s="125" t="n"/>
      <c r="F80" s="125" t="n"/>
      <c r="G80" s="126" t="n"/>
      <c r="H80" s="126" t="n"/>
      <c r="I80" s="126" t="n"/>
      <c r="J80" s="126" t="n"/>
      <c r="K80" s="125" t="n"/>
      <c r="L80" s="127" t="n"/>
      <c r="M80" s="127" t="n"/>
      <c r="N80" s="125" t="n"/>
      <c r="O80" s="125" t="n"/>
      <c r="P80" s="125" t="n"/>
      <c r="Q80" s="127" t="n"/>
      <c r="R80" s="125" t="n"/>
      <c r="S80" s="125" t="n"/>
      <c r="T80" s="128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7" t="n"/>
      <c r="AF80" s="127" t="n"/>
      <c r="AG80" s="127" t="n"/>
    </row>
    <row r="81">
      <c r="A81" s="118">
        <f>IF(COUNTA(B81:AG81)=0,"待填写",IF(OR(B81="",C81="",D81="",E81="",F81="",AND(G81="",H81="",I81="",J81=""),M81="",N81="",P81="",NOT(ISNUMBER(Q81)),NOT(ISNUMBER(T81)),U81="",X81="",Y81="",Z81="",AA81="",AD81="",NOT(ISNUMBER(AE81)),NOT(ISNUMBER(AF81)),NOT(ISNUMBER(AG81))),"请补全必填",IF(OR(COUNTIF($B$5:$B$104,B81)&gt;1,COUNTIF($C$5:$C$104,C81)&gt;1),"ID重复",IF(COUNTIF('水晶主数据'!$B$5:$B$54,D81)=0,"关联不存在",IF(OR(ISNA(MATCH(F81,'_枚举'!$D$2:$D$7,0)),AND(L81&lt;&gt;"",ISNA(MATCH(L81,'_枚举'!$E$2:$E$6,0))),ISNA(MATCH(M81,'_枚举'!$A$2:$A$4,0)),ISNA(MATCH(N81,'_枚举'!$B$2:$B$5,0)),ISNA(MATCH(P81,'_枚举'!$F$2:$F$5,0)),ISNA(MATCH(Y81,'_枚举'!$C$2:$C$3,0)),ISNA(MATCH(Z81,'_枚举'!$C$2:$C$3,0)),ISNA(MATCH(AA81,'_枚举'!$C$2:$C$3,0)),ISNA(MATCH(AD81,'_枚举'!$G$2:$G$3,0))),"枚举错误",IF(OR(AND(G81&lt;&gt;"",OR(NOT(ISNUMBER(G81)),G81&lt;=0)),AND(H81&lt;&gt;"",OR(NOT(ISNUMBER(H81)),H81&lt;=0)),AND(I81&lt;&gt;"",OR(NOT(ISNUMBER(I81)),I81&lt;=0)),AND(J81&lt;&gt;"",OR(NOT(ISNUMBER(J81)),J81&lt;=0)),AND(K81&lt;&gt;"",OR(NOT(ISNUMBER(K81)),K81&lt;=0)),NOT(ISNUMBER(Q81)),Q81&lt;=0,AND(R81&lt;&gt;"",OR(NOT(ISNUMBER(R81)),R81&lt;=0)),AND(S81&lt;&gt;"",OR(NOT(ISNUMBER(S81)),S81&lt;=0)),NOT(ISNUMBER(T81)),T81&lt;0,T81&gt;1,NOT(ISNUMBER(AE81)),AE81&lt;0,NOT(ISNUMBER(AF81)),AF81&lt;0,NOT(ISNUMBER(AG81)),AG81&lt;0,AND(AB81&lt;&gt;"",NOT(ISNUMBER(AB81)))),"格式错误",IF(AND(Z81="TRUE",OR(Y81&lt;&gt;"TRUE",M81="UNKNOWN")),"待人工复核","可导入")))))))</f>
        <v/>
      </c>
      <c r="B81" s="125" t="n"/>
      <c r="C81" s="125" t="n"/>
      <c r="D81" s="125" t="n"/>
      <c r="E81" s="125" t="n"/>
      <c r="F81" s="125" t="n"/>
      <c r="G81" s="126" t="n"/>
      <c r="H81" s="126" t="n"/>
      <c r="I81" s="126" t="n"/>
      <c r="J81" s="126" t="n"/>
      <c r="K81" s="125" t="n"/>
      <c r="L81" s="127" t="n"/>
      <c r="M81" s="127" t="n"/>
      <c r="N81" s="125" t="n"/>
      <c r="O81" s="125" t="n"/>
      <c r="P81" s="125" t="n"/>
      <c r="Q81" s="127" t="n"/>
      <c r="R81" s="125" t="n"/>
      <c r="S81" s="125" t="n"/>
      <c r="T81" s="128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7" t="n"/>
      <c r="AF81" s="127" t="n"/>
      <c r="AG81" s="127" t="n"/>
    </row>
    <row r="82">
      <c r="A82" s="118">
        <f>IF(COUNTA(B82:AG82)=0,"待填写",IF(OR(B82="",C82="",D82="",E82="",F82="",AND(G82="",H82="",I82="",J82=""),M82="",N82="",P82="",NOT(ISNUMBER(Q82)),NOT(ISNUMBER(T82)),U82="",X82="",Y82="",Z82="",AA82="",AD82="",NOT(ISNUMBER(AE82)),NOT(ISNUMBER(AF82)),NOT(ISNUMBER(AG82))),"请补全必填",IF(OR(COUNTIF($B$5:$B$104,B82)&gt;1,COUNTIF($C$5:$C$104,C82)&gt;1),"ID重复",IF(COUNTIF('水晶主数据'!$B$5:$B$54,D82)=0,"关联不存在",IF(OR(ISNA(MATCH(F82,'_枚举'!$D$2:$D$7,0)),AND(L82&lt;&gt;"",ISNA(MATCH(L82,'_枚举'!$E$2:$E$6,0))),ISNA(MATCH(M82,'_枚举'!$A$2:$A$4,0)),ISNA(MATCH(N82,'_枚举'!$B$2:$B$5,0)),ISNA(MATCH(P82,'_枚举'!$F$2:$F$5,0)),ISNA(MATCH(Y82,'_枚举'!$C$2:$C$3,0)),ISNA(MATCH(Z82,'_枚举'!$C$2:$C$3,0)),ISNA(MATCH(AA82,'_枚举'!$C$2:$C$3,0)),ISNA(MATCH(AD82,'_枚举'!$G$2:$G$3,0))),"枚举错误",IF(OR(AND(G82&lt;&gt;"",OR(NOT(ISNUMBER(G82)),G82&lt;=0)),AND(H82&lt;&gt;"",OR(NOT(ISNUMBER(H82)),H82&lt;=0)),AND(I82&lt;&gt;"",OR(NOT(ISNUMBER(I82)),I82&lt;=0)),AND(J82&lt;&gt;"",OR(NOT(ISNUMBER(J82)),J82&lt;=0)),AND(K82&lt;&gt;"",OR(NOT(ISNUMBER(K82)),K82&lt;=0)),NOT(ISNUMBER(Q82)),Q82&lt;=0,AND(R82&lt;&gt;"",OR(NOT(ISNUMBER(R82)),R82&lt;=0)),AND(S82&lt;&gt;"",OR(NOT(ISNUMBER(S82)),S82&lt;=0)),NOT(ISNUMBER(T82)),T82&lt;0,T82&gt;1,NOT(ISNUMBER(AE82)),AE82&lt;0,NOT(ISNUMBER(AF82)),AF82&lt;0,NOT(ISNUMBER(AG82)),AG82&lt;0,AND(AB82&lt;&gt;"",NOT(ISNUMBER(AB82)))),"格式错误",IF(AND(Z82="TRUE",OR(Y82&lt;&gt;"TRUE",M82="UNKNOWN")),"待人工复核","可导入")))))))</f>
        <v/>
      </c>
      <c r="B82" s="125" t="n"/>
      <c r="C82" s="125" t="n"/>
      <c r="D82" s="125" t="n"/>
      <c r="E82" s="125" t="n"/>
      <c r="F82" s="125" t="n"/>
      <c r="G82" s="126" t="n"/>
      <c r="H82" s="126" t="n"/>
      <c r="I82" s="126" t="n"/>
      <c r="J82" s="126" t="n"/>
      <c r="K82" s="125" t="n"/>
      <c r="L82" s="127" t="n"/>
      <c r="M82" s="127" t="n"/>
      <c r="N82" s="125" t="n"/>
      <c r="O82" s="125" t="n"/>
      <c r="P82" s="125" t="n"/>
      <c r="Q82" s="127" t="n"/>
      <c r="R82" s="125" t="n"/>
      <c r="S82" s="125" t="n"/>
      <c r="T82" s="128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7" t="n"/>
      <c r="AF82" s="127" t="n"/>
      <c r="AG82" s="127" t="n"/>
    </row>
    <row r="83">
      <c r="A83" s="118">
        <f>IF(COUNTA(B83:AG83)=0,"待填写",IF(OR(B83="",C83="",D83="",E83="",F83="",AND(G83="",H83="",I83="",J83=""),M83="",N83="",P83="",NOT(ISNUMBER(Q83)),NOT(ISNUMBER(T83)),U83="",X83="",Y83="",Z83="",AA83="",AD83="",NOT(ISNUMBER(AE83)),NOT(ISNUMBER(AF83)),NOT(ISNUMBER(AG83))),"请补全必填",IF(OR(COUNTIF($B$5:$B$104,B83)&gt;1,COUNTIF($C$5:$C$104,C83)&gt;1),"ID重复",IF(COUNTIF('水晶主数据'!$B$5:$B$54,D83)=0,"关联不存在",IF(OR(ISNA(MATCH(F83,'_枚举'!$D$2:$D$7,0)),AND(L83&lt;&gt;"",ISNA(MATCH(L83,'_枚举'!$E$2:$E$6,0))),ISNA(MATCH(M83,'_枚举'!$A$2:$A$4,0)),ISNA(MATCH(N83,'_枚举'!$B$2:$B$5,0)),ISNA(MATCH(P83,'_枚举'!$F$2:$F$5,0)),ISNA(MATCH(Y83,'_枚举'!$C$2:$C$3,0)),ISNA(MATCH(Z83,'_枚举'!$C$2:$C$3,0)),ISNA(MATCH(AA83,'_枚举'!$C$2:$C$3,0)),ISNA(MATCH(AD83,'_枚举'!$G$2:$G$3,0))),"枚举错误",IF(OR(AND(G83&lt;&gt;"",OR(NOT(ISNUMBER(G83)),G83&lt;=0)),AND(H83&lt;&gt;"",OR(NOT(ISNUMBER(H83)),H83&lt;=0)),AND(I83&lt;&gt;"",OR(NOT(ISNUMBER(I83)),I83&lt;=0)),AND(J83&lt;&gt;"",OR(NOT(ISNUMBER(J83)),J83&lt;=0)),AND(K83&lt;&gt;"",OR(NOT(ISNUMBER(K83)),K83&lt;=0)),NOT(ISNUMBER(Q83)),Q83&lt;=0,AND(R83&lt;&gt;"",OR(NOT(ISNUMBER(R83)),R83&lt;=0)),AND(S83&lt;&gt;"",OR(NOT(ISNUMBER(S83)),S83&lt;=0)),NOT(ISNUMBER(T83)),T83&lt;0,T83&gt;1,NOT(ISNUMBER(AE83)),AE83&lt;0,NOT(ISNUMBER(AF83)),AF83&lt;0,NOT(ISNUMBER(AG83)),AG83&lt;0,AND(AB83&lt;&gt;"",NOT(ISNUMBER(AB83)))),"格式错误",IF(AND(Z83="TRUE",OR(Y83&lt;&gt;"TRUE",M83="UNKNOWN")),"待人工复核","可导入")))))))</f>
        <v/>
      </c>
      <c r="B83" s="125" t="n"/>
      <c r="C83" s="125" t="n"/>
      <c r="D83" s="125" t="n"/>
      <c r="E83" s="125" t="n"/>
      <c r="F83" s="125" t="n"/>
      <c r="G83" s="126" t="n"/>
      <c r="H83" s="126" t="n"/>
      <c r="I83" s="126" t="n"/>
      <c r="J83" s="126" t="n"/>
      <c r="K83" s="125" t="n"/>
      <c r="L83" s="127" t="n"/>
      <c r="M83" s="127" t="n"/>
      <c r="N83" s="125" t="n"/>
      <c r="O83" s="125" t="n"/>
      <c r="P83" s="125" t="n"/>
      <c r="Q83" s="127" t="n"/>
      <c r="R83" s="125" t="n"/>
      <c r="S83" s="125" t="n"/>
      <c r="T83" s="128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7" t="n"/>
      <c r="AF83" s="127" t="n"/>
      <c r="AG83" s="127" t="n"/>
    </row>
    <row r="84">
      <c r="A84" s="118">
        <f>IF(COUNTA(B84:AG84)=0,"待填写",IF(OR(B84="",C84="",D84="",E84="",F84="",AND(G84="",H84="",I84="",J84=""),M84="",N84="",P84="",NOT(ISNUMBER(Q84)),NOT(ISNUMBER(T84)),U84="",X84="",Y84="",Z84="",AA84="",AD84="",NOT(ISNUMBER(AE84)),NOT(ISNUMBER(AF84)),NOT(ISNUMBER(AG84))),"请补全必填",IF(OR(COUNTIF($B$5:$B$104,B84)&gt;1,COUNTIF($C$5:$C$104,C84)&gt;1),"ID重复",IF(COUNTIF('水晶主数据'!$B$5:$B$54,D84)=0,"关联不存在",IF(OR(ISNA(MATCH(F84,'_枚举'!$D$2:$D$7,0)),AND(L84&lt;&gt;"",ISNA(MATCH(L84,'_枚举'!$E$2:$E$6,0))),ISNA(MATCH(M84,'_枚举'!$A$2:$A$4,0)),ISNA(MATCH(N84,'_枚举'!$B$2:$B$5,0)),ISNA(MATCH(P84,'_枚举'!$F$2:$F$5,0)),ISNA(MATCH(Y84,'_枚举'!$C$2:$C$3,0)),ISNA(MATCH(Z84,'_枚举'!$C$2:$C$3,0)),ISNA(MATCH(AA84,'_枚举'!$C$2:$C$3,0)),ISNA(MATCH(AD84,'_枚举'!$G$2:$G$3,0))),"枚举错误",IF(OR(AND(G84&lt;&gt;"",OR(NOT(ISNUMBER(G84)),G84&lt;=0)),AND(H84&lt;&gt;"",OR(NOT(ISNUMBER(H84)),H84&lt;=0)),AND(I84&lt;&gt;"",OR(NOT(ISNUMBER(I84)),I84&lt;=0)),AND(J84&lt;&gt;"",OR(NOT(ISNUMBER(J84)),J84&lt;=0)),AND(K84&lt;&gt;"",OR(NOT(ISNUMBER(K84)),K84&lt;=0)),NOT(ISNUMBER(Q84)),Q84&lt;=0,AND(R84&lt;&gt;"",OR(NOT(ISNUMBER(R84)),R84&lt;=0)),AND(S84&lt;&gt;"",OR(NOT(ISNUMBER(S84)),S84&lt;=0)),NOT(ISNUMBER(T84)),T84&lt;0,T84&gt;1,NOT(ISNUMBER(AE84)),AE84&lt;0,NOT(ISNUMBER(AF84)),AF84&lt;0,NOT(ISNUMBER(AG84)),AG84&lt;0,AND(AB84&lt;&gt;"",NOT(ISNUMBER(AB84)))),"格式错误",IF(AND(Z84="TRUE",OR(Y84&lt;&gt;"TRUE",M84="UNKNOWN")),"待人工复核","可导入")))))))</f>
        <v/>
      </c>
      <c r="B84" s="125" t="n"/>
      <c r="C84" s="125" t="n"/>
      <c r="D84" s="125" t="n"/>
      <c r="E84" s="125" t="n"/>
      <c r="F84" s="125" t="n"/>
      <c r="G84" s="126" t="n"/>
      <c r="H84" s="126" t="n"/>
      <c r="I84" s="126" t="n"/>
      <c r="J84" s="126" t="n"/>
      <c r="K84" s="125" t="n"/>
      <c r="L84" s="127" t="n"/>
      <c r="M84" s="127" t="n"/>
      <c r="N84" s="125" t="n"/>
      <c r="O84" s="125" t="n"/>
      <c r="P84" s="125" t="n"/>
      <c r="Q84" s="127" t="n"/>
      <c r="R84" s="125" t="n"/>
      <c r="S84" s="125" t="n"/>
      <c r="T84" s="128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7" t="n"/>
      <c r="AF84" s="127" t="n"/>
      <c r="AG84" s="127" t="n"/>
    </row>
    <row r="85">
      <c r="A85" s="118">
        <f>IF(COUNTA(B85:AG85)=0,"待填写",IF(OR(B85="",C85="",D85="",E85="",F85="",AND(G85="",H85="",I85="",J85=""),M85="",N85="",P85="",NOT(ISNUMBER(Q85)),NOT(ISNUMBER(T85)),U85="",X85="",Y85="",Z85="",AA85="",AD85="",NOT(ISNUMBER(AE85)),NOT(ISNUMBER(AF85)),NOT(ISNUMBER(AG85))),"请补全必填",IF(OR(COUNTIF($B$5:$B$104,B85)&gt;1,COUNTIF($C$5:$C$104,C85)&gt;1),"ID重复",IF(COUNTIF('水晶主数据'!$B$5:$B$54,D85)=0,"关联不存在",IF(OR(ISNA(MATCH(F85,'_枚举'!$D$2:$D$7,0)),AND(L85&lt;&gt;"",ISNA(MATCH(L85,'_枚举'!$E$2:$E$6,0))),ISNA(MATCH(M85,'_枚举'!$A$2:$A$4,0)),ISNA(MATCH(N85,'_枚举'!$B$2:$B$5,0)),ISNA(MATCH(P85,'_枚举'!$F$2:$F$5,0)),ISNA(MATCH(Y85,'_枚举'!$C$2:$C$3,0)),ISNA(MATCH(Z85,'_枚举'!$C$2:$C$3,0)),ISNA(MATCH(AA85,'_枚举'!$C$2:$C$3,0)),ISNA(MATCH(AD85,'_枚举'!$G$2:$G$3,0))),"枚举错误",IF(OR(AND(G85&lt;&gt;"",OR(NOT(ISNUMBER(G85)),G85&lt;=0)),AND(H85&lt;&gt;"",OR(NOT(ISNUMBER(H85)),H85&lt;=0)),AND(I85&lt;&gt;"",OR(NOT(ISNUMBER(I85)),I85&lt;=0)),AND(J85&lt;&gt;"",OR(NOT(ISNUMBER(J85)),J85&lt;=0)),AND(K85&lt;&gt;"",OR(NOT(ISNUMBER(K85)),K85&lt;=0)),NOT(ISNUMBER(Q85)),Q85&lt;=0,AND(R85&lt;&gt;"",OR(NOT(ISNUMBER(R85)),R85&lt;=0)),AND(S85&lt;&gt;"",OR(NOT(ISNUMBER(S85)),S85&lt;=0)),NOT(ISNUMBER(T85)),T85&lt;0,T85&gt;1,NOT(ISNUMBER(AE85)),AE85&lt;0,NOT(ISNUMBER(AF85)),AF85&lt;0,NOT(ISNUMBER(AG85)),AG85&lt;0,AND(AB85&lt;&gt;"",NOT(ISNUMBER(AB85)))),"格式错误",IF(AND(Z85="TRUE",OR(Y85&lt;&gt;"TRUE",M85="UNKNOWN")),"待人工复核","可导入")))))))</f>
        <v/>
      </c>
      <c r="B85" s="125" t="n"/>
      <c r="C85" s="125" t="n"/>
      <c r="D85" s="125" t="n"/>
      <c r="E85" s="125" t="n"/>
      <c r="F85" s="125" t="n"/>
      <c r="G85" s="126" t="n"/>
      <c r="H85" s="126" t="n"/>
      <c r="I85" s="126" t="n"/>
      <c r="J85" s="126" t="n"/>
      <c r="K85" s="125" t="n"/>
      <c r="L85" s="127" t="n"/>
      <c r="M85" s="127" t="n"/>
      <c r="N85" s="125" t="n"/>
      <c r="O85" s="125" t="n"/>
      <c r="P85" s="125" t="n"/>
      <c r="Q85" s="127" t="n"/>
      <c r="R85" s="125" t="n"/>
      <c r="S85" s="125" t="n"/>
      <c r="T85" s="128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7" t="n"/>
      <c r="AF85" s="127" t="n"/>
      <c r="AG85" s="127" t="n"/>
    </row>
    <row r="86">
      <c r="A86" s="118">
        <f>IF(COUNTA(B86:AG86)=0,"待填写",IF(OR(B86="",C86="",D86="",E86="",F86="",AND(G86="",H86="",I86="",J86=""),M86="",N86="",P86="",NOT(ISNUMBER(Q86)),NOT(ISNUMBER(T86)),U86="",X86="",Y86="",Z86="",AA86="",AD86="",NOT(ISNUMBER(AE86)),NOT(ISNUMBER(AF86)),NOT(ISNUMBER(AG86))),"请补全必填",IF(OR(COUNTIF($B$5:$B$104,B86)&gt;1,COUNTIF($C$5:$C$104,C86)&gt;1),"ID重复",IF(COUNTIF('水晶主数据'!$B$5:$B$54,D86)=0,"关联不存在",IF(OR(ISNA(MATCH(F86,'_枚举'!$D$2:$D$7,0)),AND(L86&lt;&gt;"",ISNA(MATCH(L86,'_枚举'!$E$2:$E$6,0))),ISNA(MATCH(M86,'_枚举'!$A$2:$A$4,0)),ISNA(MATCH(N86,'_枚举'!$B$2:$B$5,0)),ISNA(MATCH(P86,'_枚举'!$F$2:$F$5,0)),ISNA(MATCH(Y86,'_枚举'!$C$2:$C$3,0)),ISNA(MATCH(Z86,'_枚举'!$C$2:$C$3,0)),ISNA(MATCH(AA86,'_枚举'!$C$2:$C$3,0)),ISNA(MATCH(AD86,'_枚举'!$G$2:$G$3,0))),"枚举错误",IF(OR(AND(G86&lt;&gt;"",OR(NOT(ISNUMBER(G86)),G86&lt;=0)),AND(H86&lt;&gt;"",OR(NOT(ISNUMBER(H86)),H86&lt;=0)),AND(I86&lt;&gt;"",OR(NOT(ISNUMBER(I86)),I86&lt;=0)),AND(J86&lt;&gt;"",OR(NOT(ISNUMBER(J86)),J86&lt;=0)),AND(K86&lt;&gt;"",OR(NOT(ISNUMBER(K86)),K86&lt;=0)),NOT(ISNUMBER(Q86)),Q86&lt;=0,AND(R86&lt;&gt;"",OR(NOT(ISNUMBER(R86)),R86&lt;=0)),AND(S86&lt;&gt;"",OR(NOT(ISNUMBER(S86)),S86&lt;=0)),NOT(ISNUMBER(T86)),T86&lt;0,T86&gt;1,NOT(ISNUMBER(AE86)),AE86&lt;0,NOT(ISNUMBER(AF86)),AF86&lt;0,NOT(ISNUMBER(AG86)),AG86&lt;0,AND(AB86&lt;&gt;"",NOT(ISNUMBER(AB86)))),"格式错误",IF(AND(Z86="TRUE",OR(Y86&lt;&gt;"TRUE",M86="UNKNOWN")),"待人工复核","可导入")))))))</f>
        <v/>
      </c>
      <c r="B86" s="125" t="n"/>
      <c r="C86" s="125" t="n"/>
      <c r="D86" s="125" t="n"/>
      <c r="E86" s="125" t="n"/>
      <c r="F86" s="125" t="n"/>
      <c r="G86" s="126" t="n"/>
      <c r="H86" s="126" t="n"/>
      <c r="I86" s="126" t="n"/>
      <c r="J86" s="126" t="n"/>
      <c r="K86" s="125" t="n"/>
      <c r="L86" s="127" t="n"/>
      <c r="M86" s="127" t="n"/>
      <c r="N86" s="125" t="n"/>
      <c r="O86" s="125" t="n"/>
      <c r="P86" s="125" t="n"/>
      <c r="Q86" s="127" t="n"/>
      <c r="R86" s="125" t="n"/>
      <c r="S86" s="125" t="n"/>
      <c r="T86" s="128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7" t="n"/>
      <c r="AF86" s="127" t="n"/>
      <c r="AG86" s="127" t="n"/>
    </row>
    <row r="87">
      <c r="A87" s="118">
        <f>IF(COUNTA(B87:AG87)=0,"待填写",IF(OR(B87="",C87="",D87="",E87="",F87="",AND(G87="",H87="",I87="",J87=""),M87="",N87="",P87="",NOT(ISNUMBER(Q87)),NOT(ISNUMBER(T87)),U87="",X87="",Y87="",Z87="",AA87="",AD87="",NOT(ISNUMBER(AE87)),NOT(ISNUMBER(AF87)),NOT(ISNUMBER(AG87))),"请补全必填",IF(OR(COUNTIF($B$5:$B$104,B87)&gt;1,COUNTIF($C$5:$C$104,C87)&gt;1),"ID重复",IF(COUNTIF('水晶主数据'!$B$5:$B$54,D87)=0,"关联不存在",IF(OR(ISNA(MATCH(F87,'_枚举'!$D$2:$D$7,0)),AND(L87&lt;&gt;"",ISNA(MATCH(L87,'_枚举'!$E$2:$E$6,0))),ISNA(MATCH(M87,'_枚举'!$A$2:$A$4,0)),ISNA(MATCH(N87,'_枚举'!$B$2:$B$5,0)),ISNA(MATCH(P87,'_枚举'!$F$2:$F$5,0)),ISNA(MATCH(Y87,'_枚举'!$C$2:$C$3,0)),ISNA(MATCH(Z87,'_枚举'!$C$2:$C$3,0)),ISNA(MATCH(AA87,'_枚举'!$C$2:$C$3,0)),ISNA(MATCH(AD87,'_枚举'!$G$2:$G$3,0))),"枚举错误",IF(OR(AND(G87&lt;&gt;"",OR(NOT(ISNUMBER(G87)),G87&lt;=0)),AND(H87&lt;&gt;"",OR(NOT(ISNUMBER(H87)),H87&lt;=0)),AND(I87&lt;&gt;"",OR(NOT(ISNUMBER(I87)),I87&lt;=0)),AND(J87&lt;&gt;"",OR(NOT(ISNUMBER(J87)),J87&lt;=0)),AND(K87&lt;&gt;"",OR(NOT(ISNUMBER(K87)),K87&lt;=0)),NOT(ISNUMBER(Q87)),Q87&lt;=0,AND(R87&lt;&gt;"",OR(NOT(ISNUMBER(R87)),R87&lt;=0)),AND(S87&lt;&gt;"",OR(NOT(ISNUMBER(S87)),S87&lt;=0)),NOT(ISNUMBER(T87)),T87&lt;0,T87&gt;1,NOT(ISNUMBER(AE87)),AE87&lt;0,NOT(ISNUMBER(AF87)),AF87&lt;0,NOT(ISNUMBER(AG87)),AG87&lt;0,AND(AB87&lt;&gt;"",NOT(ISNUMBER(AB87)))),"格式错误",IF(AND(Z87="TRUE",OR(Y87&lt;&gt;"TRUE",M87="UNKNOWN")),"待人工复核","可导入")))))))</f>
        <v/>
      </c>
      <c r="B87" s="125" t="n"/>
      <c r="C87" s="125" t="n"/>
      <c r="D87" s="125" t="n"/>
      <c r="E87" s="125" t="n"/>
      <c r="F87" s="125" t="n"/>
      <c r="G87" s="126" t="n"/>
      <c r="H87" s="126" t="n"/>
      <c r="I87" s="126" t="n"/>
      <c r="J87" s="126" t="n"/>
      <c r="K87" s="125" t="n"/>
      <c r="L87" s="127" t="n"/>
      <c r="M87" s="127" t="n"/>
      <c r="N87" s="125" t="n"/>
      <c r="O87" s="125" t="n"/>
      <c r="P87" s="125" t="n"/>
      <c r="Q87" s="127" t="n"/>
      <c r="R87" s="125" t="n"/>
      <c r="S87" s="125" t="n"/>
      <c r="T87" s="128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7" t="n"/>
      <c r="AF87" s="127" t="n"/>
      <c r="AG87" s="127" t="n"/>
    </row>
    <row r="88">
      <c r="A88" s="118">
        <f>IF(COUNTA(B88:AG88)=0,"待填写",IF(OR(B88="",C88="",D88="",E88="",F88="",AND(G88="",H88="",I88="",J88=""),M88="",N88="",P88="",NOT(ISNUMBER(Q88)),NOT(ISNUMBER(T88)),U88="",X88="",Y88="",Z88="",AA88="",AD88="",NOT(ISNUMBER(AE88)),NOT(ISNUMBER(AF88)),NOT(ISNUMBER(AG88))),"请补全必填",IF(OR(COUNTIF($B$5:$B$104,B88)&gt;1,COUNTIF($C$5:$C$104,C88)&gt;1),"ID重复",IF(COUNTIF('水晶主数据'!$B$5:$B$54,D88)=0,"关联不存在",IF(OR(ISNA(MATCH(F88,'_枚举'!$D$2:$D$7,0)),AND(L88&lt;&gt;"",ISNA(MATCH(L88,'_枚举'!$E$2:$E$6,0))),ISNA(MATCH(M88,'_枚举'!$A$2:$A$4,0)),ISNA(MATCH(N88,'_枚举'!$B$2:$B$5,0)),ISNA(MATCH(P88,'_枚举'!$F$2:$F$5,0)),ISNA(MATCH(Y88,'_枚举'!$C$2:$C$3,0)),ISNA(MATCH(Z88,'_枚举'!$C$2:$C$3,0)),ISNA(MATCH(AA88,'_枚举'!$C$2:$C$3,0)),ISNA(MATCH(AD88,'_枚举'!$G$2:$G$3,0))),"枚举错误",IF(OR(AND(G88&lt;&gt;"",OR(NOT(ISNUMBER(G88)),G88&lt;=0)),AND(H88&lt;&gt;"",OR(NOT(ISNUMBER(H88)),H88&lt;=0)),AND(I88&lt;&gt;"",OR(NOT(ISNUMBER(I88)),I88&lt;=0)),AND(J88&lt;&gt;"",OR(NOT(ISNUMBER(J88)),J88&lt;=0)),AND(K88&lt;&gt;"",OR(NOT(ISNUMBER(K88)),K88&lt;=0)),NOT(ISNUMBER(Q88)),Q88&lt;=0,AND(R88&lt;&gt;"",OR(NOT(ISNUMBER(R88)),R88&lt;=0)),AND(S88&lt;&gt;"",OR(NOT(ISNUMBER(S88)),S88&lt;=0)),NOT(ISNUMBER(T88)),T88&lt;0,T88&gt;1,NOT(ISNUMBER(AE88)),AE88&lt;0,NOT(ISNUMBER(AF88)),AF88&lt;0,NOT(ISNUMBER(AG88)),AG88&lt;0,AND(AB88&lt;&gt;"",NOT(ISNUMBER(AB88)))),"格式错误",IF(AND(Z88="TRUE",OR(Y88&lt;&gt;"TRUE",M88="UNKNOWN")),"待人工复核","可导入")))))))</f>
        <v/>
      </c>
      <c r="B88" s="125" t="n"/>
      <c r="C88" s="125" t="n"/>
      <c r="D88" s="125" t="n"/>
      <c r="E88" s="125" t="n"/>
      <c r="F88" s="125" t="n"/>
      <c r="G88" s="126" t="n"/>
      <c r="H88" s="126" t="n"/>
      <c r="I88" s="126" t="n"/>
      <c r="J88" s="126" t="n"/>
      <c r="K88" s="125" t="n"/>
      <c r="L88" s="127" t="n"/>
      <c r="M88" s="127" t="n"/>
      <c r="N88" s="125" t="n"/>
      <c r="O88" s="125" t="n"/>
      <c r="P88" s="125" t="n"/>
      <c r="Q88" s="127" t="n"/>
      <c r="R88" s="125" t="n"/>
      <c r="S88" s="125" t="n"/>
      <c r="T88" s="128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7" t="n"/>
      <c r="AF88" s="127" t="n"/>
      <c r="AG88" s="127" t="n"/>
    </row>
    <row r="89">
      <c r="A89" s="118">
        <f>IF(COUNTA(B89:AG89)=0,"待填写",IF(OR(B89="",C89="",D89="",E89="",F89="",AND(G89="",H89="",I89="",J89=""),M89="",N89="",P89="",NOT(ISNUMBER(Q89)),NOT(ISNUMBER(T89)),U89="",X89="",Y89="",Z89="",AA89="",AD89="",NOT(ISNUMBER(AE89)),NOT(ISNUMBER(AF89)),NOT(ISNUMBER(AG89))),"请补全必填",IF(OR(COUNTIF($B$5:$B$104,B89)&gt;1,COUNTIF($C$5:$C$104,C89)&gt;1),"ID重复",IF(COUNTIF('水晶主数据'!$B$5:$B$54,D89)=0,"关联不存在",IF(OR(ISNA(MATCH(F89,'_枚举'!$D$2:$D$7,0)),AND(L89&lt;&gt;"",ISNA(MATCH(L89,'_枚举'!$E$2:$E$6,0))),ISNA(MATCH(M89,'_枚举'!$A$2:$A$4,0)),ISNA(MATCH(N89,'_枚举'!$B$2:$B$5,0)),ISNA(MATCH(P89,'_枚举'!$F$2:$F$5,0)),ISNA(MATCH(Y89,'_枚举'!$C$2:$C$3,0)),ISNA(MATCH(Z89,'_枚举'!$C$2:$C$3,0)),ISNA(MATCH(AA89,'_枚举'!$C$2:$C$3,0)),ISNA(MATCH(AD89,'_枚举'!$G$2:$G$3,0))),"枚举错误",IF(OR(AND(G89&lt;&gt;"",OR(NOT(ISNUMBER(G89)),G89&lt;=0)),AND(H89&lt;&gt;"",OR(NOT(ISNUMBER(H89)),H89&lt;=0)),AND(I89&lt;&gt;"",OR(NOT(ISNUMBER(I89)),I89&lt;=0)),AND(J89&lt;&gt;"",OR(NOT(ISNUMBER(J89)),J89&lt;=0)),AND(K89&lt;&gt;"",OR(NOT(ISNUMBER(K89)),K89&lt;=0)),NOT(ISNUMBER(Q89)),Q89&lt;=0,AND(R89&lt;&gt;"",OR(NOT(ISNUMBER(R89)),R89&lt;=0)),AND(S89&lt;&gt;"",OR(NOT(ISNUMBER(S89)),S89&lt;=0)),NOT(ISNUMBER(T89)),T89&lt;0,T89&gt;1,NOT(ISNUMBER(AE89)),AE89&lt;0,NOT(ISNUMBER(AF89)),AF89&lt;0,NOT(ISNUMBER(AG89)),AG89&lt;0,AND(AB89&lt;&gt;"",NOT(ISNUMBER(AB89)))),"格式错误",IF(AND(Z89="TRUE",OR(Y89&lt;&gt;"TRUE",M89="UNKNOWN")),"待人工复核","可导入")))))))</f>
        <v/>
      </c>
      <c r="B89" s="125" t="n"/>
      <c r="C89" s="125" t="n"/>
      <c r="D89" s="125" t="n"/>
      <c r="E89" s="125" t="n"/>
      <c r="F89" s="125" t="n"/>
      <c r="G89" s="126" t="n"/>
      <c r="H89" s="126" t="n"/>
      <c r="I89" s="126" t="n"/>
      <c r="J89" s="126" t="n"/>
      <c r="K89" s="125" t="n"/>
      <c r="L89" s="127" t="n"/>
      <c r="M89" s="127" t="n"/>
      <c r="N89" s="125" t="n"/>
      <c r="O89" s="125" t="n"/>
      <c r="P89" s="125" t="n"/>
      <c r="Q89" s="127" t="n"/>
      <c r="R89" s="125" t="n"/>
      <c r="S89" s="125" t="n"/>
      <c r="T89" s="128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7" t="n"/>
      <c r="AF89" s="127" t="n"/>
      <c r="AG89" s="127" t="n"/>
    </row>
    <row r="90">
      <c r="A90" s="118">
        <f>IF(COUNTA(B90:AG90)=0,"待填写",IF(OR(B90="",C90="",D90="",E90="",F90="",AND(G90="",H90="",I90="",J90=""),M90="",N90="",P90="",NOT(ISNUMBER(Q90)),NOT(ISNUMBER(T90)),U90="",X90="",Y90="",Z90="",AA90="",AD90="",NOT(ISNUMBER(AE90)),NOT(ISNUMBER(AF90)),NOT(ISNUMBER(AG90))),"请补全必填",IF(OR(COUNTIF($B$5:$B$104,B90)&gt;1,COUNTIF($C$5:$C$104,C90)&gt;1),"ID重复",IF(COUNTIF('水晶主数据'!$B$5:$B$54,D90)=0,"关联不存在",IF(OR(ISNA(MATCH(F90,'_枚举'!$D$2:$D$7,0)),AND(L90&lt;&gt;"",ISNA(MATCH(L90,'_枚举'!$E$2:$E$6,0))),ISNA(MATCH(M90,'_枚举'!$A$2:$A$4,0)),ISNA(MATCH(N90,'_枚举'!$B$2:$B$5,0)),ISNA(MATCH(P90,'_枚举'!$F$2:$F$5,0)),ISNA(MATCH(Y90,'_枚举'!$C$2:$C$3,0)),ISNA(MATCH(Z90,'_枚举'!$C$2:$C$3,0)),ISNA(MATCH(AA90,'_枚举'!$C$2:$C$3,0)),ISNA(MATCH(AD90,'_枚举'!$G$2:$G$3,0))),"枚举错误",IF(OR(AND(G90&lt;&gt;"",OR(NOT(ISNUMBER(G90)),G90&lt;=0)),AND(H90&lt;&gt;"",OR(NOT(ISNUMBER(H90)),H90&lt;=0)),AND(I90&lt;&gt;"",OR(NOT(ISNUMBER(I90)),I90&lt;=0)),AND(J90&lt;&gt;"",OR(NOT(ISNUMBER(J90)),J90&lt;=0)),AND(K90&lt;&gt;"",OR(NOT(ISNUMBER(K90)),K90&lt;=0)),NOT(ISNUMBER(Q90)),Q90&lt;=0,AND(R90&lt;&gt;"",OR(NOT(ISNUMBER(R90)),R90&lt;=0)),AND(S90&lt;&gt;"",OR(NOT(ISNUMBER(S90)),S90&lt;=0)),NOT(ISNUMBER(T90)),T90&lt;0,T90&gt;1,NOT(ISNUMBER(AE90)),AE90&lt;0,NOT(ISNUMBER(AF90)),AF90&lt;0,NOT(ISNUMBER(AG90)),AG90&lt;0,AND(AB90&lt;&gt;"",NOT(ISNUMBER(AB90)))),"格式错误",IF(AND(Z90="TRUE",OR(Y90&lt;&gt;"TRUE",M90="UNKNOWN")),"待人工复核","可导入")))))))</f>
        <v/>
      </c>
      <c r="B90" s="125" t="n"/>
      <c r="C90" s="125" t="n"/>
      <c r="D90" s="125" t="n"/>
      <c r="E90" s="125" t="n"/>
      <c r="F90" s="125" t="n"/>
      <c r="G90" s="126" t="n"/>
      <c r="H90" s="126" t="n"/>
      <c r="I90" s="126" t="n"/>
      <c r="J90" s="126" t="n"/>
      <c r="K90" s="125" t="n"/>
      <c r="L90" s="127" t="n"/>
      <c r="M90" s="127" t="n"/>
      <c r="N90" s="125" t="n"/>
      <c r="O90" s="125" t="n"/>
      <c r="P90" s="125" t="n"/>
      <c r="Q90" s="127" t="n"/>
      <c r="R90" s="125" t="n"/>
      <c r="S90" s="125" t="n"/>
      <c r="T90" s="128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7" t="n"/>
      <c r="AF90" s="127" t="n"/>
      <c r="AG90" s="127" t="n"/>
    </row>
    <row r="91">
      <c r="A91" s="118">
        <f>IF(COUNTA(B91:AG91)=0,"待填写",IF(OR(B91="",C91="",D91="",E91="",F91="",AND(G91="",H91="",I91="",J91=""),M91="",N91="",P91="",NOT(ISNUMBER(Q91)),NOT(ISNUMBER(T91)),U91="",X91="",Y91="",Z91="",AA91="",AD91="",NOT(ISNUMBER(AE91)),NOT(ISNUMBER(AF91)),NOT(ISNUMBER(AG91))),"请补全必填",IF(OR(COUNTIF($B$5:$B$104,B91)&gt;1,COUNTIF($C$5:$C$104,C91)&gt;1),"ID重复",IF(COUNTIF('水晶主数据'!$B$5:$B$54,D91)=0,"关联不存在",IF(OR(ISNA(MATCH(F91,'_枚举'!$D$2:$D$7,0)),AND(L91&lt;&gt;"",ISNA(MATCH(L91,'_枚举'!$E$2:$E$6,0))),ISNA(MATCH(M91,'_枚举'!$A$2:$A$4,0)),ISNA(MATCH(N91,'_枚举'!$B$2:$B$5,0)),ISNA(MATCH(P91,'_枚举'!$F$2:$F$5,0)),ISNA(MATCH(Y91,'_枚举'!$C$2:$C$3,0)),ISNA(MATCH(Z91,'_枚举'!$C$2:$C$3,0)),ISNA(MATCH(AA91,'_枚举'!$C$2:$C$3,0)),ISNA(MATCH(AD91,'_枚举'!$G$2:$G$3,0))),"枚举错误",IF(OR(AND(G91&lt;&gt;"",OR(NOT(ISNUMBER(G91)),G91&lt;=0)),AND(H91&lt;&gt;"",OR(NOT(ISNUMBER(H91)),H91&lt;=0)),AND(I91&lt;&gt;"",OR(NOT(ISNUMBER(I91)),I91&lt;=0)),AND(J91&lt;&gt;"",OR(NOT(ISNUMBER(J91)),J91&lt;=0)),AND(K91&lt;&gt;"",OR(NOT(ISNUMBER(K91)),K91&lt;=0)),NOT(ISNUMBER(Q91)),Q91&lt;=0,AND(R91&lt;&gt;"",OR(NOT(ISNUMBER(R91)),R91&lt;=0)),AND(S91&lt;&gt;"",OR(NOT(ISNUMBER(S91)),S91&lt;=0)),NOT(ISNUMBER(T91)),T91&lt;0,T91&gt;1,NOT(ISNUMBER(AE91)),AE91&lt;0,NOT(ISNUMBER(AF91)),AF91&lt;0,NOT(ISNUMBER(AG91)),AG91&lt;0,AND(AB91&lt;&gt;"",NOT(ISNUMBER(AB91)))),"格式错误",IF(AND(Z91="TRUE",OR(Y91&lt;&gt;"TRUE",M91="UNKNOWN")),"待人工复核","可导入")))))))</f>
        <v/>
      </c>
      <c r="B91" s="125" t="n"/>
      <c r="C91" s="125" t="n"/>
      <c r="D91" s="125" t="n"/>
      <c r="E91" s="125" t="n"/>
      <c r="F91" s="125" t="n"/>
      <c r="G91" s="126" t="n"/>
      <c r="H91" s="126" t="n"/>
      <c r="I91" s="126" t="n"/>
      <c r="J91" s="126" t="n"/>
      <c r="K91" s="125" t="n"/>
      <c r="L91" s="127" t="n"/>
      <c r="M91" s="127" t="n"/>
      <c r="N91" s="125" t="n"/>
      <c r="O91" s="125" t="n"/>
      <c r="P91" s="125" t="n"/>
      <c r="Q91" s="127" t="n"/>
      <c r="R91" s="125" t="n"/>
      <c r="S91" s="125" t="n"/>
      <c r="T91" s="128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7" t="n"/>
      <c r="AF91" s="127" t="n"/>
      <c r="AG91" s="127" t="n"/>
    </row>
    <row r="92">
      <c r="A92" s="118">
        <f>IF(COUNTA(B92:AG92)=0,"待填写",IF(OR(B92="",C92="",D92="",E92="",F92="",AND(G92="",H92="",I92="",J92=""),M92="",N92="",P92="",NOT(ISNUMBER(Q92)),NOT(ISNUMBER(T92)),U92="",X92="",Y92="",Z92="",AA92="",AD92="",NOT(ISNUMBER(AE92)),NOT(ISNUMBER(AF92)),NOT(ISNUMBER(AG92))),"请补全必填",IF(OR(COUNTIF($B$5:$B$104,B92)&gt;1,COUNTIF($C$5:$C$104,C92)&gt;1),"ID重复",IF(COUNTIF('水晶主数据'!$B$5:$B$54,D92)=0,"关联不存在",IF(OR(ISNA(MATCH(F92,'_枚举'!$D$2:$D$7,0)),AND(L92&lt;&gt;"",ISNA(MATCH(L92,'_枚举'!$E$2:$E$6,0))),ISNA(MATCH(M92,'_枚举'!$A$2:$A$4,0)),ISNA(MATCH(N92,'_枚举'!$B$2:$B$5,0)),ISNA(MATCH(P92,'_枚举'!$F$2:$F$5,0)),ISNA(MATCH(Y92,'_枚举'!$C$2:$C$3,0)),ISNA(MATCH(Z92,'_枚举'!$C$2:$C$3,0)),ISNA(MATCH(AA92,'_枚举'!$C$2:$C$3,0)),ISNA(MATCH(AD92,'_枚举'!$G$2:$G$3,0))),"枚举错误",IF(OR(AND(G92&lt;&gt;"",OR(NOT(ISNUMBER(G92)),G92&lt;=0)),AND(H92&lt;&gt;"",OR(NOT(ISNUMBER(H92)),H92&lt;=0)),AND(I92&lt;&gt;"",OR(NOT(ISNUMBER(I92)),I92&lt;=0)),AND(J92&lt;&gt;"",OR(NOT(ISNUMBER(J92)),J92&lt;=0)),AND(K92&lt;&gt;"",OR(NOT(ISNUMBER(K92)),K92&lt;=0)),NOT(ISNUMBER(Q92)),Q92&lt;=0,AND(R92&lt;&gt;"",OR(NOT(ISNUMBER(R92)),R92&lt;=0)),AND(S92&lt;&gt;"",OR(NOT(ISNUMBER(S92)),S92&lt;=0)),NOT(ISNUMBER(T92)),T92&lt;0,T92&gt;1,NOT(ISNUMBER(AE92)),AE92&lt;0,NOT(ISNUMBER(AF92)),AF92&lt;0,NOT(ISNUMBER(AG92)),AG92&lt;0,AND(AB92&lt;&gt;"",NOT(ISNUMBER(AB92)))),"格式错误",IF(AND(Z92="TRUE",OR(Y92&lt;&gt;"TRUE",M92="UNKNOWN")),"待人工复核","可导入")))))))</f>
        <v/>
      </c>
      <c r="B92" s="125" t="n"/>
      <c r="C92" s="125" t="n"/>
      <c r="D92" s="125" t="n"/>
      <c r="E92" s="125" t="n"/>
      <c r="F92" s="125" t="n"/>
      <c r="G92" s="126" t="n"/>
      <c r="H92" s="126" t="n"/>
      <c r="I92" s="126" t="n"/>
      <c r="J92" s="126" t="n"/>
      <c r="K92" s="125" t="n"/>
      <c r="L92" s="127" t="n"/>
      <c r="M92" s="127" t="n"/>
      <c r="N92" s="125" t="n"/>
      <c r="O92" s="125" t="n"/>
      <c r="P92" s="125" t="n"/>
      <c r="Q92" s="127" t="n"/>
      <c r="R92" s="125" t="n"/>
      <c r="S92" s="125" t="n"/>
      <c r="T92" s="128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7" t="n"/>
      <c r="AF92" s="127" t="n"/>
      <c r="AG92" s="127" t="n"/>
    </row>
    <row r="93">
      <c r="A93" s="118">
        <f>IF(COUNTA(B93:AG93)=0,"待填写",IF(OR(B93="",C93="",D93="",E93="",F93="",AND(G93="",H93="",I93="",J93=""),M93="",N93="",P93="",NOT(ISNUMBER(Q93)),NOT(ISNUMBER(T93)),U93="",X93="",Y93="",Z93="",AA93="",AD93="",NOT(ISNUMBER(AE93)),NOT(ISNUMBER(AF93)),NOT(ISNUMBER(AG93))),"请补全必填",IF(OR(COUNTIF($B$5:$B$104,B93)&gt;1,COUNTIF($C$5:$C$104,C93)&gt;1),"ID重复",IF(COUNTIF('水晶主数据'!$B$5:$B$54,D93)=0,"关联不存在",IF(OR(ISNA(MATCH(F93,'_枚举'!$D$2:$D$7,0)),AND(L93&lt;&gt;"",ISNA(MATCH(L93,'_枚举'!$E$2:$E$6,0))),ISNA(MATCH(M93,'_枚举'!$A$2:$A$4,0)),ISNA(MATCH(N93,'_枚举'!$B$2:$B$5,0)),ISNA(MATCH(P93,'_枚举'!$F$2:$F$5,0)),ISNA(MATCH(Y93,'_枚举'!$C$2:$C$3,0)),ISNA(MATCH(Z93,'_枚举'!$C$2:$C$3,0)),ISNA(MATCH(AA93,'_枚举'!$C$2:$C$3,0)),ISNA(MATCH(AD93,'_枚举'!$G$2:$G$3,0))),"枚举错误",IF(OR(AND(G93&lt;&gt;"",OR(NOT(ISNUMBER(G93)),G93&lt;=0)),AND(H93&lt;&gt;"",OR(NOT(ISNUMBER(H93)),H93&lt;=0)),AND(I93&lt;&gt;"",OR(NOT(ISNUMBER(I93)),I93&lt;=0)),AND(J93&lt;&gt;"",OR(NOT(ISNUMBER(J93)),J93&lt;=0)),AND(K93&lt;&gt;"",OR(NOT(ISNUMBER(K93)),K93&lt;=0)),NOT(ISNUMBER(Q93)),Q93&lt;=0,AND(R93&lt;&gt;"",OR(NOT(ISNUMBER(R93)),R93&lt;=0)),AND(S93&lt;&gt;"",OR(NOT(ISNUMBER(S93)),S93&lt;=0)),NOT(ISNUMBER(T93)),T93&lt;0,T93&gt;1,NOT(ISNUMBER(AE93)),AE93&lt;0,NOT(ISNUMBER(AF93)),AF93&lt;0,NOT(ISNUMBER(AG93)),AG93&lt;0,AND(AB93&lt;&gt;"",NOT(ISNUMBER(AB93)))),"格式错误",IF(AND(Z93="TRUE",OR(Y93&lt;&gt;"TRUE",M93="UNKNOWN")),"待人工复核","可导入")))))))</f>
        <v/>
      </c>
      <c r="B93" s="125" t="n"/>
      <c r="C93" s="125" t="n"/>
      <c r="D93" s="125" t="n"/>
      <c r="E93" s="125" t="n"/>
      <c r="F93" s="125" t="n"/>
      <c r="G93" s="126" t="n"/>
      <c r="H93" s="126" t="n"/>
      <c r="I93" s="126" t="n"/>
      <c r="J93" s="126" t="n"/>
      <c r="K93" s="125" t="n"/>
      <c r="L93" s="127" t="n"/>
      <c r="M93" s="127" t="n"/>
      <c r="N93" s="125" t="n"/>
      <c r="O93" s="125" t="n"/>
      <c r="P93" s="125" t="n"/>
      <c r="Q93" s="127" t="n"/>
      <c r="R93" s="125" t="n"/>
      <c r="S93" s="125" t="n"/>
      <c r="T93" s="128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7" t="n"/>
      <c r="AF93" s="127" t="n"/>
      <c r="AG93" s="127" t="n"/>
    </row>
    <row r="94">
      <c r="A94" s="118">
        <f>IF(COUNTA(B94:AG94)=0,"待填写",IF(OR(B94="",C94="",D94="",E94="",F94="",AND(G94="",H94="",I94="",J94=""),M94="",N94="",P94="",NOT(ISNUMBER(Q94)),NOT(ISNUMBER(T94)),U94="",X94="",Y94="",Z94="",AA94="",AD94="",NOT(ISNUMBER(AE94)),NOT(ISNUMBER(AF94)),NOT(ISNUMBER(AG94))),"请补全必填",IF(OR(COUNTIF($B$5:$B$104,B94)&gt;1,COUNTIF($C$5:$C$104,C94)&gt;1),"ID重复",IF(COUNTIF('水晶主数据'!$B$5:$B$54,D94)=0,"关联不存在",IF(OR(ISNA(MATCH(F94,'_枚举'!$D$2:$D$7,0)),AND(L94&lt;&gt;"",ISNA(MATCH(L94,'_枚举'!$E$2:$E$6,0))),ISNA(MATCH(M94,'_枚举'!$A$2:$A$4,0)),ISNA(MATCH(N94,'_枚举'!$B$2:$B$5,0)),ISNA(MATCH(P94,'_枚举'!$F$2:$F$5,0)),ISNA(MATCH(Y94,'_枚举'!$C$2:$C$3,0)),ISNA(MATCH(Z94,'_枚举'!$C$2:$C$3,0)),ISNA(MATCH(AA94,'_枚举'!$C$2:$C$3,0)),ISNA(MATCH(AD94,'_枚举'!$G$2:$G$3,0))),"枚举错误",IF(OR(AND(G94&lt;&gt;"",OR(NOT(ISNUMBER(G94)),G94&lt;=0)),AND(H94&lt;&gt;"",OR(NOT(ISNUMBER(H94)),H94&lt;=0)),AND(I94&lt;&gt;"",OR(NOT(ISNUMBER(I94)),I94&lt;=0)),AND(J94&lt;&gt;"",OR(NOT(ISNUMBER(J94)),J94&lt;=0)),AND(K94&lt;&gt;"",OR(NOT(ISNUMBER(K94)),K94&lt;=0)),NOT(ISNUMBER(Q94)),Q94&lt;=0,AND(R94&lt;&gt;"",OR(NOT(ISNUMBER(R94)),R94&lt;=0)),AND(S94&lt;&gt;"",OR(NOT(ISNUMBER(S94)),S94&lt;=0)),NOT(ISNUMBER(T94)),T94&lt;0,T94&gt;1,NOT(ISNUMBER(AE94)),AE94&lt;0,NOT(ISNUMBER(AF94)),AF94&lt;0,NOT(ISNUMBER(AG94)),AG94&lt;0,AND(AB94&lt;&gt;"",NOT(ISNUMBER(AB94)))),"格式错误",IF(AND(Z94="TRUE",OR(Y94&lt;&gt;"TRUE",M94="UNKNOWN")),"待人工复核","可导入")))))))</f>
        <v/>
      </c>
      <c r="B94" s="125" t="n"/>
      <c r="C94" s="125" t="n"/>
      <c r="D94" s="125" t="n"/>
      <c r="E94" s="125" t="n"/>
      <c r="F94" s="125" t="n"/>
      <c r="G94" s="126" t="n"/>
      <c r="H94" s="126" t="n"/>
      <c r="I94" s="126" t="n"/>
      <c r="J94" s="126" t="n"/>
      <c r="K94" s="125" t="n"/>
      <c r="L94" s="127" t="n"/>
      <c r="M94" s="127" t="n"/>
      <c r="N94" s="125" t="n"/>
      <c r="O94" s="125" t="n"/>
      <c r="P94" s="125" t="n"/>
      <c r="Q94" s="127" t="n"/>
      <c r="R94" s="125" t="n"/>
      <c r="S94" s="125" t="n"/>
      <c r="T94" s="128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7" t="n"/>
      <c r="AF94" s="127" t="n"/>
      <c r="AG94" s="127" t="n"/>
    </row>
    <row r="95">
      <c r="A95" s="118">
        <f>IF(COUNTA(B95:AG95)=0,"待填写",IF(OR(B95="",C95="",D95="",E95="",F95="",AND(G95="",H95="",I95="",J95=""),M95="",N95="",P95="",NOT(ISNUMBER(Q95)),NOT(ISNUMBER(T95)),U95="",X95="",Y95="",Z95="",AA95="",AD95="",NOT(ISNUMBER(AE95)),NOT(ISNUMBER(AF95)),NOT(ISNUMBER(AG95))),"请补全必填",IF(OR(COUNTIF($B$5:$B$104,B95)&gt;1,COUNTIF($C$5:$C$104,C95)&gt;1),"ID重复",IF(COUNTIF('水晶主数据'!$B$5:$B$54,D95)=0,"关联不存在",IF(OR(ISNA(MATCH(F95,'_枚举'!$D$2:$D$7,0)),AND(L95&lt;&gt;"",ISNA(MATCH(L95,'_枚举'!$E$2:$E$6,0))),ISNA(MATCH(M95,'_枚举'!$A$2:$A$4,0)),ISNA(MATCH(N95,'_枚举'!$B$2:$B$5,0)),ISNA(MATCH(P95,'_枚举'!$F$2:$F$5,0)),ISNA(MATCH(Y95,'_枚举'!$C$2:$C$3,0)),ISNA(MATCH(Z95,'_枚举'!$C$2:$C$3,0)),ISNA(MATCH(AA95,'_枚举'!$C$2:$C$3,0)),ISNA(MATCH(AD95,'_枚举'!$G$2:$G$3,0))),"枚举错误",IF(OR(AND(G95&lt;&gt;"",OR(NOT(ISNUMBER(G95)),G95&lt;=0)),AND(H95&lt;&gt;"",OR(NOT(ISNUMBER(H95)),H95&lt;=0)),AND(I95&lt;&gt;"",OR(NOT(ISNUMBER(I95)),I95&lt;=0)),AND(J95&lt;&gt;"",OR(NOT(ISNUMBER(J95)),J95&lt;=0)),AND(K95&lt;&gt;"",OR(NOT(ISNUMBER(K95)),K95&lt;=0)),NOT(ISNUMBER(Q95)),Q95&lt;=0,AND(R95&lt;&gt;"",OR(NOT(ISNUMBER(R95)),R95&lt;=0)),AND(S95&lt;&gt;"",OR(NOT(ISNUMBER(S95)),S95&lt;=0)),NOT(ISNUMBER(T95)),T95&lt;0,T95&gt;1,NOT(ISNUMBER(AE95)),AE95&lt;0,NOT(ISNUMBER(AF95)),AF95&lt;0,NOT(ISNUMBER(AG95)),AG95&lt;0,AND(AB95&lt;&gt;"",NOT(ISNUMBER(AB95)))),"格式错误",IF(AND(Z95="TRUE",OR(Y95&lt;&gt;"TRUE",M95="UNKNOWN")),"待人工复核","可导入")))))))</f>
        <v/>
      </c>
      <c r="B95" s="125" t="n"/>
      <c r="C95" s="125" t="n"/>
      <c r="D95" s="125" t="n"/>
      <c r="E95" s="125" t="n"/>
      <c r="F95" s="125" t="n"/>
      <c r="G95" s="126" t="n"/>
      <c r="H95" s="126" t="n"/>
      <c r="I95" s="126" t="n"/>
      <c r="J95" s="126" t="n"/>
      <c r="K95" s="125" t="n"/>
      <c r="L95" s="127" t="n"/>
      <c r="M95" s="127" t="n"/>
      <c r="N95" s="125" t="n"/>
      <c r="O95" s="125" t="n"/>
      <c r="P95" s="125" t="n"/>
      <c r="Q95" s="127" t="n"/>
      <c r="R95" s="125" t="n"/>
      <c r="S95" s="125" t="n"/>
      <c r="T95" s="128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7" t="n"/>
      <c r="AF95" s="127" t="n"/>
      <c r="AG95" s="127" t="n"/>
    </row>
    <row r="96">
      <c r="A96" s="118">
        <f>IF(COUNTA(B96:AG96)=0,"待填写",IF(OR(B96="",C96="",D96="",E96="",F96="",AND(G96="",H96="",I96="",J96=""),M96="",N96="",P96="",NOT(ISNUMBER(Q96)),NOT(ISNUMBER(T96)),U96="",X96="",Y96="",Z96="",AA96="",AD96="",NOT(ISNUMBER(AE96)),NOT(ISNUMBER(AF96)),NOT(ISNUMBER(AG96))),"请补全必填",IF(OR(COUNTIF($B$5:$B$104,B96)&gt;1,COUNTIF($C$5:$C$104,C96)&gt;1),"ID重复",IF(COUNTIF('水晶主数据'!$B$5:$B$54,D96)=0,"关联不存在",IF(OR(ISNA(MATCH(F96,'_枚举'!$D$2:$D$7,0)),AND(L96&lt;&gt;"",ISNA(MATCH(L96,'_枚举'!$E$2:$E$6,0))),ISNA(MATCH(M96,'_枚举'!$A$2:$A$4,0)),ISNA(MATCH(N96,'_枚举'!$B$2:$B$5,0)),ISNA(MATCH(P96,'_枚举'!$F$2:$F$5,0)),ISNA(MATCH(Y96,'_枚举'!$C$2:$C$3,0)),ISNA(MATCH(Z96,'_枚举'!$C$2:$C$3,0)),ISNA(MATCH(AA96,'_枚举'!$C$2:$C$3,0)),ISNA(MATCH(AD96,'_枚举'!$G$2:$G$3,0))),"枚举错误",IF(OR(AND(G96&lt;&gt;"",OR(NOT(ISNUMBER(G96)),G96&lt;=0)),AND(H96&lt;&gt;"",OR(NOT(ISNUMBER(H96)),H96&lt;=0)),AND(I96&lt;&gt;"",OR(NOT(ISNUMBER(I96)),I96&lt;=0)),AND(J96&lt;&gt;"",OR(NOT(ISNUMBER(J96)),J96&lt;=0)),AND(K96&lt;&gt;"",OR(NOT(ISNUMBER(K96)),K96&lt;=0)),NOT(ISNUMBER(Q96)),Q96&lt;=0,AND(R96&lt;&gt;"",OR(NOT(ISNUMBER(R96)),R96&lt;=0)),AND(S96&lt;&gt;"",OR(NOT(ISNUMBER(S96)),S96&lt;=0)),NOT(ISNUMBER(T96)),T96&lt;0,T96&gt;1,NOT(ISNUMBER(AE96)),AE96&lt;0,NOT(ISNUMBER(AF96)),AF96&lt;0,NOT(ISNUMBER(AG96)),AG96&lt;0,AND(AB96&lt;&gt;"",NOT(ISNUMBER(AB96)))),"格式错误",IF(AND(Z96="TRUE",OR(Y96&lt;&gt;"TRUE",M96="UNKNOWN")),"待人工复核","可导入")))))))</f>
        <v/>
      </c>
      <c r="B96" s="125" t="n"/>
      <c r="C96" s="125" t="n"/>
      <c r="D96" s="125" t="n"/>
      <c r="E96" s="125" t="n"/>
      <c r="F96" s="125" t="n"/>
      <c r="G96" s="126" t="n"/>
      <c r="H96" s="126" t="n"/>
      <c r="I96" s="126" t="n"/>
      <c r="J96" s="126" t="n"/>
      <c r="K96" s="125" t="n"/>
      <c r="L96" s="127" t="n"/>
      <c r="M96" s="127" t="n"/>
      <c r="N96" s="125" t="n"/>
      <c r="O96" s="125" t="n"/>
      <c r="P96" s="125" t="n"/>
      <c r="Q96" s="127" t="n"/>
      <c r="R96" s="125" t="n"/>
      <c r="S96" s="125" t="n"/>
      <c r="T96" s="128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7" t="n"/>
      <c r="AF96" s="127" t="n"/>
      <c r="AG96" s="127" t="n"/>
    </row>
    <row r="97">
      <c r="A97" s="118">
        <f>IF(COUNTA(B97:AG97)=0,"待填写",IF(OR(B97="",C97="",D97="",E97="",F97="",AND(G97="",H97="",I97="",J97=""),M97="",N97="",P97="",NOT(ISNUMBER(Q97)),NOT(ISNUMBER(T97)),U97="",X97="",Y97="",Z97="",AA97="",AD97="",NOT(ISNUMBER(AE97)),NOT(ISNUMBER(AF97)),NOT(ISNUMBER(AG97))),"请补全必填",IF(OR(COUNTIF($B$5:$B$104,B97)&gt;1,COUNTIF($C$5:$C$104,C97)&gt;1),"ID重复",IF(COUNTIF('水晶主数据'!$B$5:$B$54,D97)=0,"关联不存在",IF(OR(ISNA(MATCH(F97,'_枚举'!$D$2:$D$7,0)),AND(L97&lt;&gt;"",ISNA(MATCH(L97,'_枚举'!$E$2:$E$6,0))),ISNA(MATCH(M97,'_枚举'!$A$2:$A$4,0)),ISNA(MATCH(N97,'_枚举'!$B$2:$B$5,0)),ISNA(MATCH(P97,'_枚举'!$F$2:$F$5,0)),ISNA(MATCH(Y97,'_枚举'!$C$2:$C$3,0)),ISNA(MATCH(Z97,'_枚举'!$C$2:$C$3,0)),ISNA(MATCH(AA97,'_枚举'!$C$2:$C$3,0)),ISNA(MATCH(AD97,'_枚举'!$G$2:$G$3,0))),"枚举错误",IF(OR(AND(G97&lt;&gt;"",OR(NOT(ISNUMBER(G97)),G97&lt;=0)),AND(H97&lt;&gt;"",OR(NOT(ISNUMBER(H97)),H97&lt;=0)),AND(I97&lt;&gt;"",OR(NOT(ISNUMBER(I97)),I97&lt;=0)),AND(J97&lt;&gt;"",OR(NOT(ISNUMBER(J97)),J97&lt;=0)),AND(K97&lt;&gt;"",OR(NOT(ISNUMBER(K97)),K97&lt;=0)),NOT(ISNUMBER(Q97)),Q97&lt;=0,AND(R97&lt;&gt;"",OR(NOT(ISNUMBER(R97)),R97&lt;=0)),AND(S97&lt;&gt;"",OR(NOT(ISNUMBER(S97)),S97&lt;=0)),NOT(ISNUMBER(T97)),T97&lt;0,T97&gt;1,NOT(ISNUMBER(AE97)),AE97&lt;0,NOT(ISNUMBER(AF97)),AF97&lt;0,NOT(ISNUMBER(AG97)),AG97&lt;0,AND(AB97&lt;&gt;"",NOT(ISNUMBER(AB97)))),"格式错误",IF(AND(Z97="TRUE",OR(Y97&lt;&gt;"TRUE",M97="UNKNOWN")),"待人工复核","可导入")))))))</f>
        <v/>
      </c>
      <c r="B97" s="125" t="n"/>
      <c r="C97" s="125" t="n"/>
      <c r="D97" s="125" t="n"/>
      <c r="E97" s="125" t="n"/>
      <c r="F97" s="125" t="n"/>
      <c r="G97" s="126" t="n"/>
      <c r="H97" s="126" t="n"/>
      <c r="I97" s="126" t="n"/>
      <c r="J97" s="126" t="n"/>
      <c r="K97" s="125" t="n"/>
      <c r="L97" s="127" t="n"/>
      <c r="M97" s="127" t="n"/>
      <c r="N97" s="125" t="n"/>
      <c r="O97" s="125" t="n"/>
      <c r="P97" s="125" t="n"/>
      <c r="Q97" s="127" t="n"/>
      <c r="R97" s="125" t="n"/>
      <c r="S97" s="125" t="n"/>
      <c r="T97" s="128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7" t="n"/>
      <c r="AF97" s="127" t="n"/>
      <c r="AG97" s="127" t="n"/>
    </row>
    <row r="98">
      <c r="A98" s="118">
        <f>IF(COUNTA(B98:AG98)=0,"待填写",IF(OR(B98="",C98="",D98="",E98="",F98="",AND(G98="",H98="",I98="",J98=""),M98="",N98="",P98="",NOT(ISNUMBER(Q98)),NOT(ISNUMBER(T98)),U98="",X98="",Y98="",Z98="",AA98="",AD98="",NOT(ISNUMBER(AE98)),NOT(ISNUMBER(AF98)),NOT(ISNUMBER(AG98))),"请补全必填",IF(OR(COUNTIF($B$5:$B$104,B98)&gt;1,COUNTIF($C$5:$C$104,C98)&gt;1),"ID重复",IF(COUNTIF('水晶主数据'!$B$5:$B$54,D98)=0,"关联不存在",IF(OR(ISNA(MATCH(F98,'_枚举'!$D$2:$D$7,0)),AND(L98&lt;&gt;"",ISNA(MATCH(L98,'_枚举'!$E$2:$E$6,0))),ISNA(MATCH(M98,'_枚举'!$A$2:$A$4,0)),ISNA(MATCH(N98,'_枚举'!$B$2:$B$5,0)),ISNA(MATCH(P98,'_枚举'!$F$2:$F$5,0)),ISNA(MATCH(Y98,'_枚举'!$C$2:$C$3,0)),ISNA(MATCH(Z98,'_枚举'!$C$2:$C$3,0)),ISNA(MATCH(AA98,'_枚举'!$C$2:$C$3,0)),ISNA(MATCH(AD98,'_枚举'!$G$2:$G$3,0))),"枚举错误",IF(OR(AND(G98&lt;&gt;"",OR(NOT(ISNUMBER(G98)),G98&lt;=0)),AND(H98&lt;&gt;"",OR(NOT(ISNUMBER(H98)),H98&lt;=0)),AND(I98&lt;&gt;"",OR(NOT(ISNUMBER(I98)),I98&lt;=0)),AND(J98&lt;&gt;"",OR(NOT(ISNUMBER(J98)),J98&lt;=0)),AND(K98&lt;&gt;"",OR(NOT(ISNUMBER(K98)),K98&lt;=0)),NOT(ISNUMBER(Q98)),Q98&lt;=0,AND(R98&lt;&gt;"",OR(NOT(ISNUMBER(R98)),R98&lt;=0)),AND(S98&lt;&gt;"",OR(NOT(ISNUMBER(S98)),S98&lt;=0)),NOT(ISNUMBER(T98)),T98&lt;0,T98&gt;1,NOT(ISNUMBER(AE98)),AE98&lt;0,NOT(ISNUMBER(AF98)),AF98&lt;0,NOT(ISNUMBER(AG98)),AG98&lt;0,AND(AB98&lt;&gt;"",NOT(ISNUMBER(AB98)))),"格式错误",IF(AND(Z98="TRUE",OR(Y98&lt;&gt;"TRUE",M98="UNKNOWN")),"待人工复核","可导入")))))))</f>
        <v/>
      </c>
      <c r="B98" s="125" t="n"/>
      <c r="C98" s="125" t="n"/>
      <c r="D98" s="125" t="n"/>
      <c r="E98" s="125" t="n"/>
      <c r="F98" s="125" t="n"/>
      <c r="G98" s="126" t="n"/>
      <c r="H98" s="126" t="n"/>
      <c r="I98" s="126" t="n"/>
      <c r="J98" s="126" t="n"/>
      <c r="K98" s="125" t="n"/>
      <c r="L98" s="127" t="n"/>
      <c r="M98" s="127" t="n"/>
      <c r="N98" s="125" t="n"/>
      <c r="O98" s="125" t="n"/>
      <c r="P98" s="125" t="n"/>
      <c r="Q98" s="127" t="n"/>
      <c r="R98" s="125" t="n"/>
      <c r="S98" s="125" t="n"/>
      <c r="T98" s="128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7" t="n"/>
      <c r="AF98" s="127" t="n"/>
      <c r="AG98" s="127" t="n"/>
    </row>
    <row r="99">
      <c r="A99" s="118">
        <f>IF(COUNTA(B99:AG99)=0,"待填写",IF(OR(B99="",C99="",D99="",E99="",F99="",AND(G99="",H99="",I99="",J99=""),M99="",N99="",P99="",NOT(ISNUMBER(Q99)),NOT(ISNUMBER(T99)),U99="",X99="",Y99="",Z99="",AA99="",AD99="",NOT(ISNUMBER(AE99)),NOT(ISNUMBER(AF99)),NOT(ISNUMBER(AG99))),"请补全必填",IF(OR(COUNTIF($B$5:$B$104,B99)&gt;1,COUNTIF($C$5:$C$104,C99)&gt;1),"ID重复",IF(COUNTIF('水晶主数据'!$B$5:$B$54,D99)=0,"关联不存在",IF(OR(ISNA(MATCH(F99,'_枚举'!$D$2:$D$7,0)),AND(L99&lt;&gt;"",ISNA(MATCH(L99,'_枚举'!$E$2:$E$6,0))),ISNA(MATCH(M99,'_枚举'!$A$2:$A$4,0)),ISNA(MATCH(N99,'_枚举'!$B$2:$B$5,0)),ISNA(MATCH(P99,'_枚举'!$F$2:$F$5,0)),ISNA(MATCH(Y99,'_枚举'!$C$2:$C$3,0)),ISNA(MATCH(Z99,'_枚举'!$C$2:$C$3,0)),ISNA(MATCH(AA99,'_枚举'!$C$2:$C$3,0)),ISNA(MATCH(AD99,'_枚举'!$G$2:$G$3,0))),"枚举错误",IF(OR(AND(G99&lt;&gt;"",OR(NOT(ISNUMBER(G99)),G99&lt;=0)),AND(H99&lt;&gt;"",OR(NOT(ISNUMBER(H99)),H99&lt;=0)),AND(I99&lt;&gt;"",OR(NOT(ISNUMBER(I99)),I99&lt;=0)),AND(J99&lt;&gt;"",OR(NOT(ISNUMBER(J99)),J99&lt;=0)),AND(K99&lt;&gt;"",OR(NOT(ISNUMBER(K99)),K99&lt;=0)),NOT(ISNUMBER(Q99)),Q99&lt;=0,AND(R99&lt;&gt;"",OR(NOT(ISNUMBER(R99)),R99&lt;=0)),AND(S99&lt;&gt;"",OR(NOT(ISNUMBER(S99)),S99&lt;=0)),NOT(ISNUMBER(T99)),T99&lt;0,T99&gt;1,NOT(ISNUMBER(AE99)),AE99&lt;0,NOT(ISNUMBER(AF99)),AF99&lt;0,NOT(ISNUMBER(AG99)),AG99&lt;0,AND(AB99&lt;&gt;"",NOT(ISNUMBER(AB99)))),"格式错误",IF(AND(Z99="TRUE",OR(Y99&lt;&gt;"TRUE",M99="UNKNOWN")),"待人工复核","可导入")))))))</f>
        <v/>
      </c>
      <c r="B99" s="125" t="n"/>
      <c r="C99" s="125" t="n"/>
      <c r="D99" s="125" t="n"/>
      <c r="E99" s="125" t="n"/>
      <c r="F99" s="125" t="n"/>
      <c r="G99" s="126" t="n"/>
      <c r="H99" s="126" t="n"/>
      <c r="I99" s="126" t="n"/>
      <c r="J99" s="126" t="n"/>
      <c r="K99" s="125" t="n"/>
      <c r="L99" s="127" t="n"/>
      <c r="M99" s="127" t="n"/>
      <c r="N99" s="125" t="n"/>
      <c r="O99" s="125" t="n"/>
      <c r="P99" s="125" t="n"/>
      <c r="Q99" s="127" t="n"/>
      <c r="R99" s="125" t="n"/>
      <c r="S99" s="125" t="n"/>
      <c r="T99" s="128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7" t="n"/>
      <c r="AF99" s="127" t="n"/>
      <c r="AG99" s="127" t="n"/>
    </row>
    <row r="100">
      <c r="A100" s="118">
        <f>IF(COUNTA(B100:AG100)=0,"待填写",IF(OR(B100="",C100="",D100="",E100="",F100="",AND(G100="",H100="",I100="",J100=""),M100="",N100="",P100="",NOT(ISNUMBER(Q100)),NOT(ISNUMBER(T100)),U100="",X100="",Y100="",Z100="",AA100="",AD100="",NOT(ISNUMBER(AE100)),NOT(ISNUMBER(AF100)),NOT(ISNUMBER(AG100))),"请补全必填",IF(OR(COUNTIF($B$5:$B$104,B100)&gt;1,COUNTIF($C$5:$C$104,C100)&gt;1),"ID重复",IF(COUNTIF('水晶主数据'!$B$5:$B$54,D100)=0,"关联不存在",IF(OR(ISNA(MATCH(F100,'_枚举'!$D$2:$D$7,0)),AND(L100&lt;&gt;"",ISNA(MATCH(L100,'_枚举'!$E$2:$E$6,0))),ISNA(MATCH(M100,'_枚举'!$A$2:$A$4,0)),ISNA(MATCH(N100,'_枚举'!$B$2:$B$5,0)),ISNA(MATCH(P100,'_枚举'!$F$2:$F$5,0)),ISNA(MATCH(Y100,'_枚举'!$C$2:$C$3,0)),ISNA(MATCH(Z100,'_枚举'!$C$2:$C$3,0)),ISNA(MATCH(AA100,'_枚举'!$C$2:$C$3,0)),ISNA(MATCH(AD100,'_枚举'!$G$2:$G$3,0))),"枚举错误",IF(OR(AND(G100&lt;&gt;"",OR(NOT(ISNUMBER(G100)),G100&lt;=0)),AND(H100&lt;&gt;"",OR(NOT(ISNUMBER(H100)),H100&lt;=0)),AND(I100&lt;&gt;"",OR(NOT(ISNUMBER(I100)),I100&lt;=0)),AND(J100&lt;&gt;"",OR(NOT(ISNUMBER(J100)),J100&lt;=0)),AND(K100&lt;&gt;"",OR(NOT(ISNUMBER(K100)),K100&lt;=0)),NOT(ISNUMBER(Q100)),Q100&lt;=0,AND(R100&lt;&gt;"",OR(NOT(ISNUMBER(R100)),R100&lt;=0)),AND(S100&lt;&gt;"",OR(NOT(ISNUMBER(S100)),S100&lt;=0)),NOT(ISNUMBER(T100)),T100&lt;0,T100&gt;1,NOT(ISNUMBER(AE100)),AE100&lt;0,NOT(ISNUMBER(AF100)),AF100&lt;0,NOT(ISNUMBER(AG100)),AG100&lt;0,AND(AB100&lt;&gt;"",NOT(ISNUMBER(AB100)))),"格式错误",IF(AND(Z100="TRUE",OR(Y100&lt;&gt;"TRUE",M100="UNKNOWN")),"待人工复核","可导入")))))))</f>
        <v/>
      </c>
      <c r="B100" s="125" t="n"/>
      <c r="C100" s="125" t="n"/>
      <c r="D100" s="125" t="n"/>
      <c r="E100" s="125" t="n"/>
      <c r="F100" s="125" t="n"/>
      <c r="G100" s="126" t="n"/>
      <c r="H100" s="126" t="n"/>
      <c r="I100" s="126" t="n"/>
      <c r="J100" s="126" t="n"/>
      <c r="K100" s="125" t="n"/>
      <c r="L100" s="127" t="n"/>
      <c r="M100" s="127" t="n"/>
      <c r="N100" s="125" t="n"/>
      <c r="O100" s="125" t="n"/>
      <c r="P100" s="125" t="n"/>
      <c r="Q100" s="127" t="n"/>
      <c r="R100" s="125" t="n"/>
      <c r="S100" s="125" t="n"/>
      <c r="T100" s="128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7" t="n"/>
      <c r="AF100" s="127" t="n"/>
      <c r="AG100" s="127" t="n"/>
    </row>
    <row r="101">
      <c r="A101" s="118">
        <f>IF(COUNTA(B101:AG101)=0,"待填写",IF(OR(B101="",C101="",D101="",E101="",F101="",AND(G101="",H101="",I101="",J101=""),M101="",N101="",P101="",NOT(ISNUMBER(Q101)),NOT(ISNUMBER(T101)),U101="",X101="",Y101="",Z101="",AA101="",AD101="",NOT(ISNUMBER(AE101)),NOT(ISNUMBER(AF101)),NOT(ISNUMBER(AG101))),"请补全必填",IF(OR(COUNTIF($B$5:$B$104,B101)&gt;1,COUNTIF($C$5:$C$104,C101)&gt;1),"ID重复",IF(COUNTIF('水晶主数据'!$B$5:$B$54,D101)=0,"关联不存在",IF(OR(ISNA(MATCH(F101,'_枚举'!$D$2:$D$7,0)),AND(L101&lt;&gt;"",ISNA(MATCH(L101,'_枚举'!$E$2:$E$6,0))),ISNA(MATCH(M101,'_枚举'!$A$2:$A$4,0)),ISNA(MATCH(N101,'_枚举'!$B$2:$B$5,0)),ISNA(MATCH(P101,'_枚举'!$F$2:$F$5,0)),ISNA(MATCH(Y101,'_枚举'!$C$2:$C$3,0)),ISNA(MATCH(Z101,'_枚举'!$C$2:$C$3,0)),ISNA(MATCH(AA101,'_枚举'!$C$2:$C$3,0)),ISNA(MATCH(AD101,'_枚举'!$G$2:$G$3,0))),"枚举错误",IF(OR(AND(G101&lt;&gt;"",OR(NOT(ISNUMBER(G101)),G101&lt;=0)),AND(H101&lt;&gt;"",OR(NOT(ISNUMBER(H101)),H101&lt;=0)),AND(I101&lt;&gt;"",OR(NOT(ISNUMBER(I101)),I101&lt;=0)),AND(J101&lt;&gt;"",OR(NOT(ISNUMBER(J101)),J101&lt;=0)),AND(K101&lt;&gt;"",OR(NOT(ISNUMBER(K101)),K101&lt;=0)),NOT(ISNUMBER(Q101)),Q101&lt;=0,AND(R101&lt;&gt;"",OR(NOT(ISNUMBER(R101)),R101&lt;=0)),AND(S101&lt;&gt;"",OR(NOT(ISNUMBER(S101)),S101&lt;=0)),NOT(ISNUMBER(T101)),T101&lt;0,T101&gt;1,NOT(ISNUMBER(AE101)),AE101&lt;0,NOT(ISNUMBER(AF101)),AF101&lt;0,NOT(ISNUMBER(AG101)),AG101&lt;0,AND(AB101&lt;&gt;"",NOT(ISNUMBER(AB101)))),"格式错误",IF(AND(Z101="TRUE",OR(Y101&lt;&gt;"TRUE",M101="UNKNOWN")),"待人工复核","可导入")))))))</f>
        <v/>
      </c>
      <c r="B101" s="125" t="n"/>
      <c r="C101" s="125" t="n"/>
      <c r="D101" s="125" t="n"/>
      <c r="E101" s="125" t="n"/>
      <c r="F101" s="125" t="n"/>
      <c r="G101" s="126" t="n"/>
      <c r="H101" s="126" t="n"/>
      <c r="I101" s="126" t="n"/>
      <c r="J101" s="126" t="n"/>
      <c r="K101" s="125" t="n"/>
      <c r="L101" s="127" t="n"/>
      <c r="M101" s="127" t="n"/>
      <c r="N101" s="125" t="n"/>
      <c r="O101" s="125" t="n"/>
      <c r="P101" s="125" t="n"/>
      <c r="Q101" s="127" t="n"/>
      <c r="R101" s="125" t="n"/>
      <c r="S101" s="125" t="n"/>
      <c r="T101" s="128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7" t="n"/>
      <c r="AF101" s="127" t="n"/>
      <c r="AG101" s="127" t="n"/>
    </row>
    <row r="102">
      <c r="A102" s="118">
        <f>IF(COUNTA(B102:AG102)=0,"待填写",IF(OR(B102="",C102="",D102="",E102="",F102="",AND(G102="",H102="",I102="",J102=""),M102="",N102="",P102="",NOT(ISNUMBER(Q102)),NOT(ISNUMBER(T102)),U102="",X102="",Y102="",Z102="",AA102="",AD102="",NOT(ISNUMBER(AE102)),NOT(ISNUMBER(AF102)),NOT(ISNUMBER(AG102))),"请补全必填",IF(OR(COUNTIF($B$5:$B$104,B102)&gt;1,COUNTIF($C$5:$C$104,C102)&gt;1),"ID重复",IF(COUNTIF('水晶主数据'!$B$5:$B$54,D102)=0,"关联不存在",IF(OR(ISNA(MATCH(F102,'_枚举'!$D$2:$D$7,0)),AND(L102&lt;&gt;"",ISNA(MATCH(L102,'_枚举'!$E$2:$E$6,0))),ISNA(MATCH(M102,'_枚举'!$A$2:$A$4,0)),ISNA(MATCH(N102,'_枚举'!$B$2:$B$5,0)),ISNA(MATCH(P102,'_枚举'!$F$2:$F$5,0)),ISNA(MATCH(Y102,'_枚举'!$C$2:$C$3,0)),ISNA(MATCH(Z102,'_枚举'!$C$2:$C$3,0)),ISNA(MATCH(AA102,'_枚举'!$C$2:$C$3,0)),ISNA(MATCH(AD102,'_枚举'!$G$2:$G$3,0))),"枚举错误",IF(OR(AND(G102&lt;&gt;"",OR(NOT(ISNUMBER(G102)),G102&lt;=0)),AND(H102&lt;&gt;"",OR(NOT(ISNUMBER(H102)),H102&lt;=0)),AND(I102&lt;&gt;"",OR(NOT(ISNUMBER(I102)),I102&lt;=0)),AND(J102&lt;&gt;"",OR(NOT(ISNUMBER(J102)),J102&lt;=0)),AND(K102&lt;&gt;"",OR(NOT(ISNUMBER(K102)),K102&lt;=0)),NOT(ISNUMBER(Q102)),Q102&lt;=0,AND(R102&lt;&gt;"",OR(NOT(ISNUMBER(R102)),R102&lt;=0)),AND(S102&lt;&gt;"",OR(NOT(ISNUMBER(S102)),S102&lt;=0)),NOT(ISNUMBER(T102)),T102&lt;0,T102&gt;1,NOT(ISNUMBER(AE102)),AE102&lt;0,NOT(ISNUMBER(AF102)),AF102&lt;0,NOT(ISNUMBER(AG102)),AG102&lt;0,AND(AB102&lt;&gt;"",NOT(ISNUMBER(AB102)))),"格式错误",IF(AND(Z102="TRUE",OR(Y102&lt;&gt;"TRUE",M102="UNKNOWN")),"待人工复核","可导入")))))))</f>
        <v/>
      </c>
      <c r="B102" s="125" t="n"/>
      <c r="C102" s="125" t="n"/>
      <c r="D102" s="125" t="n"/>
      <c r="E102" s="125" t="n"/>
      <c r="F102" s="125" t="n"/>
      <c r="G102" s="126" t="n"/>
      <c r="H102" s="126" t="n"/>
      <c r="I102" s="126" t="n"/>
      <c r="J102" s="126" t="n"/>
      <c r="K102" s="125" t="n"/>
      <c r="L102" s="127" t="n"/>
      <c r="M102" s="127" t="n"/>
      <c r="N102" s="125" t="n"/>
      <c r="O102" s="125" t="n"/>
      <c r="P102" s="125" t="n"/>
      <c r="Q102" s="127" t="n"/>
      <c r="R102" s="125" t="n"/>
      <c r="S102" s="125" t="n"/>
      <c r="T102" s="128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7" t="n"/>
      <c r="AF102" s="127" t="n"/>
      <c r="AG102" s="127" t="n"/>
    </row>
    <row r="103">
      <c r="A103" s="118">
        <f>IF(COUNTA(B103:AG103)=0,"待填写",IF(OR(B103="",C103="",D103="",E103="",F103="",AND(G103="",H103="",I103="",J103=""),M103="",N103="",P103="",NOT(ISNUMBER(Q103)),NOT(ISNUMBER(T103)),U103="",X103="",Y103="",Z103="",AA103="",AD103="",NOT(ISNUMBER(AE103)),NOT(ISNUMBER(AF103)),NOT(ISNUMBER(AG103))),"请补全必填",IF(OR(COUNTIF($B$5:$B$104,B103)&gt;1,COUNTIF($C$5:$C$104,C103)&gt;1),"ID重复",IF(COUNTIF('水晶主数据'!$B$5:$B$54,D103)=0,"关联不存在",IF(OR(ISNA(MATCH(F103,'_枚举'!$D$2:$D$7,0)),AND(L103&lt;&gt;"",ISNA(MATCH(L103,'_枚举'!$E$2:$E$6,0))),ISNA(MATCH(M103,'_枚举'!$A$2:$A$4,0)),ISNA(MATCH(N103,'_枚举'!$B$2:$B$5,0)),ISNA(MATCH(P103,'_枚举'!$F$2:$F$5,0)),ISNA(MATCH(Y103,'_枚举'!$C$2:$C$3,0)),ISNA(MATCH(Z103,'_枚举'!$C$2:$C$3,0)),ISNA(MATCH(AA103,'_枚举'!$C$2:$C$3,0)),ISNA(MATCH(AD103,'_枚举'!$G$2:$G$3,0))),"枚举错误",IF(OR(AND(G103&lt;&gt;"",OR(NOT(ISNUMBER(G103)),G103&lt;=0)),AND(H103&lt;&gt;"",OR(NOT(ISNUMBER(H103)),H103&lt;=0)),AND(I103&lt;&gt;"",OR(NOT(ISNUMBER(I103)),I103&lt;=0)),AND(J103&lt;&gt;"",OR(NOT(ISNUMBER(J103)),J103&lt;=0)),AND(K103&lt;&gt;"",OR(NOT(ISNUMBER(K103)),K103&lt;=0)),NOT(ISNUMBER(Q103)),Q103&lt;=0,AND(R103&lt;&gt;"",OR(NOT(ISNUMBER(R103)),R103&lt;=0)),AND(S103&lt;&gt;"",OR(NOT(ISNUMBER(S103)),S103&lt;=0)),NOT(ISNUMBER(T103)),T103&lt;0,T103&gt;1,NOT(ISNUMBER(AE103)),AE103&lt;0,NOT(ISNUMBER(AF103)),AF103&lt;0,NOT(ISNUMBER(AG103)),AG103&lt;0,AND(AB103&lt;&gt;"",NOT(ISNUMBER(AB103)))),"格式错误",IF(AND(Z103="TRUE",OR(Y103&lt;&gt;"TRUE",M103="UNKNOWN")),"待人工复核","可导入")))))))</f>
        <v/>
      </c>
      <c r="B103" s="125" t="n"/>
      <c r="C103" s="125" t="n"/>
      <c r="D103" s="125" t="n"/>
      <c r="E103" s="125" t="n"/>
      <c r="F103" s="125" t="n"/>
      <c r="G103" s="126" t="n"/>
      <c r="H103" s="126" t="n"/>
      <c r="I103" s="126" t="n"/>
      <c r="J103" s="126" t="n"/>
      <c r="K103" s="125" t="n"/>
      <c r="L103" s="127" t="n"/>
      <c r="M103" s="127" t="n"/>
      <c r="N103" s="125" t="n"/>
      <c r="O103" s="125" t="n"/>
      <c r="P103" s="125" t="n"/>
      <c r="Q103" s="127" t="n"/>
      <c r="R103" s="125" t="n"/>
      <c r="S103" s="125" t="n"/>
      <c r="T103" s="128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7" t="n"/>
      <c r="AF103" s="127" t="n"/>
      <c r="AG103" s="127" t="n"/>
    </row>
    <row r="104">
      <c r="A104" s="118">
        <f>IF(COUNTA(B104:AG104)=0,"待填写",IF(OR(B104="",C104="",D104="",E104="",F104="",AND(G104="",H104="",I104="",J104=""),M104="",N104="",P104="",NOT(ISNUMBER(Q104)),NOT(ISNUMBER(T104)),U104="",X104="",Y104="",Z104="",AA104="",AD104="",NOT(ISNUMBER(AE104)),NOT(ISNUMBER(AF104)),NOT(ISNUMBER(AG104))),"请补全必填",IF(OR(COUNTIF($B$5:$B$104,B104)&gt;1,COUNTIF($C$5:$C$104,C104)&gt;1),"ID重复",IF(COUNTIF('水晶主数据'!$B$5:$B$54,D104)=0,"关联不存在",IF(OR(ISNA(MATCH(F104,'_枚举'!$D$2:$D$7,0)),AND(L104&lt;&gt;"",ISNA(MATCH(L104,'_枚举'!$E$2:$E$6,0))),ISNA(MATCH(M104,'_枚举'!$A$2:$A$4,0)),ISNA(MATCH(N104,'_枚举'!$B$2:$B$5,0)),ISNA(MATCH(P104,'_枚举'!$F$2:$F$5,0)),ISNA(MATCH(Y104,'_枚举'!$C$2:$C$3,0)),ISNA(MATCH(Z104,'_枚举'!$C$2:$C$3,0)),ISNA(MATCH(AA104,'_枚举'!$C$2:$C$3,0)),ISNA(MATCH(AD104,'_枚举'!$G$2:$G$3,0))),"枚举错误",IF(OR(AND(G104&lt;&gt;"",OR(NOT(ISNUMBER(G104)),G104&lt;=0)),AND(H104&lt;&gt;"",OR(NOT(ISNUMBER(H104)),H104&lt;=0)),AND(I104&lt;&gt;"",OR(NOT(ISNUMBER(I104)),I104&lt;=0)),AND(J104&lt;&gt;"",OR(NOT(ISNUMBER(J104)),J104&lt;=0)),AND(K104&lt;&gt;"",OR(NOT(ISNUMBER(K104)),K104&lt;=0)),NOT(ISNUMBER(Q104)),Q104&lt;=0,AND(R104&lt;&gt;"",OR(NOT(ISNUMBER(R104)),R104&lt;=0)),AND(S104&lt;&gt;"",OR(NOT(ISNUMBER(S104)),S104&lt;=0)),NOT(ISNUMBER(T104)),T104&lt;0,T104&gt;1,NOT(ISNUMBER(AE104)),AE104&lt;0,NOT(ISNUMBER(AF104)),AF104&lt;0,NOT(ISNUMBER(AG104)),AG104&lt;0,AND(AB104&lt;&gt;"",NOT(ISNUMBER(AB104)))),"格式错误",IF(AND(Z104="TRUE",OR(Y104&lt;&gt;"TRUE",M104="UNKNOWN")),"待人工复核","可导入")))))))</f>
        <v/>
      </c>
      <c r="B104" s="125" t="n"/>
      <c r="C104" s="125" t="n"/>
      <c r="D104" s="125" t="n"/>
      <c r="E104" s="125" t="n"/>
      <c r="F104" s="125" t="n"/>
      <c r="G104" s="126" t="n"/>
      <c r="H104" s="126" t="n"/>
      <c r="I104" s="126" t="n"/>
      <c r="J104" s="126" t="n"/>
      <c r="K104" s="125" t="n"/>
      <c r="L104" s="127" t="n"/>
      <c r="M104" s="127" t="n"/>
      <c r="N104" s="125" t="n"/>
      <c r="O104" s="125" t="n"/>
      <c r="P104" s="125" t="n"/>
      <c r="Q104" s="127" t="n"/>
      <c r="R104" s="125" t="n"/>
      <c r="S104" s="125" t="n"/>
      <c r="T104" s="128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7" t="n"/>
      <c r="AF104" s="127" t="n"/>
      <c r="AG104" s="127" t="n"/>
    </row>
  </sheetData>
  <autoFilter ref="A4:AG104"/>
  <mergeCells count="2">
    <mergeCell ref="A1:AG2"/>
    <mergeCell ref="A3:AG3"/>
  </mergeCells>
  <conditionalFormatting sqref="A4:R104">
    <cfRule type="containsText" priority="1" operator="containsText" dxfId="0" text="可导入"/>
    <cfRule type="containsText" priority="2" operator="containsText" dxfId="1" text="请补全必填"/>
    <cfRule type="containsText" priority="3" operator="containsText" dxfId="2" text="待填写"/>
  </conditionalFormatting>
  <conditionalFormatting sqref="A5:A104">
    <cfRule type="cellIs" priority="4" operator="equal" dxfId="9">
      <formula>"可导入"</formula>
    </cfRule>
    <cfRule type="cellIs" priority="5" operator="equal" dxfId="10">
      <formula>"请补全必填"</formula>
    </cfRule>
    <cfRule type="cellIs" priority="6" operator="equal" dxfId="11">
      <formula>"ID重复"</formula>
    </cfRule>
    <cfRule type="cellIs" priority="7" operator="equal" dxfId="11">
      <formula>"关联不存在"</formula>
    </cfRule>
    <cfRule type="cellIs" priority="8" operator="equal" dxfId="12">
      <formula>"格式错误"</formula>
    </cfRule>
    <cfRule type="cellIs" priority="9" operator="equal" dxfId="12">
      <formula>"枚举错误"</formula>
    </cfRule>
    <cfRule type="cellIs" priority="10" operator="equal" dxfId="13">
      <formula>"待人工复核"</formula>
    </cfRule>
    <cfRule type="cellIs" priority="11" operator="equal" dxfId="10">
      <formula>"待填写"</formula>
    </cfRule>
  </conditionalFormatting>
  <dataValidations count="19">
    <dataValidation sqref="F5:F104" showDropDown="0" showInputMessage="0" showErrorMessage="0" allowBlank="0" type="list">
      <formula1>"ROUND,FACETED,OVAL,BARREL,CHIP,OTHER"</formula1>
    </dataValidation>
    <dataValidation sqref="G5:G104" showDropDown="0" showInputMessage="0" showErrorMessage="0" allowBlank="0" type="decimal" operator="between">
      <formula1>2</formula1>
      <formula2>30</formula2>
    </dataValidation>
    <dataValidation sqref="H5:H104" showDropDown="0" showInputMessage="0" showErrorMessage="0" allowBlank="0" type="list">
      <formula1>"CNY,TWD"</formula1>
    </dataValidation>
    <dataValidation sqref="P5:P104" showDropDown="0" showInputMessage="0" showErrorMessage="0" allowBlank="0" type="list">
      <formula1>"TRUE,FALSE"</formula1>
    </dataValidation>
    <dataValidation sqref="F5:F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'_枚举'!$D$2:$D$7</formula1>
    </dataValidation>
    <dataValidation sqref="L5:L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'_枚举'!$E$2:$E$6</formula1>
    </dataValidation>
    <dataValidation sqref="M5:M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'_枚举'!$A$2:$A$4</formula1>
    </dataValidation>
    <dataValidation sqref="N5:N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'_枚举'!$B$2:$B$5</formula1>
    </dataValidation>
    <dataValidation sqref="P5:P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'_枚举'!$F$2:$F$5</formula1>
    </dataValidation>
    <dataValidation sqref="Y5:Y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Z5:Z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AA5:AA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AD5:AD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'_枚举'!$G$2:$G$3</formula1>
    </dataValidation>
    <dataValidation sqref="G5:K104" showDropDown="0" showInputMessage="0" showErrorMessage="1" allowBlank="1" errorTitle="数字格式无效" error="请输入 0.01 到 9999 之间的数字。" type="decimal" operator="between">
      <formula1>0.01</formula1>
      <formula2>9999</formula2>
    </dataValidation>
    <dataValidation sqref="Q5:R104" showDropDown="0" showInputMessage="0" showErrorMessage="1" allowBlank="1" errorTitle="数字格式无效" error="请输入 1 到 1000000 之间的数字。" type="whole" operator="between">
      <formula1>1</formula1>
      <formula2>1000000</formula2>
    </dataValidation>
    <dataValidation sqref="S5:S104" showDropDown="0" showInputMessage="0" showErrorMessage="1" allowBlank="1" errorTitle="数字格式无效" error="请输入 0.01 到 100000 之间的数字。" type="decimal" operator="between">
      <formula1>0.01</formula1>
      <formula2>100000</formula2>
    </dataValidation>
    <dataValidation sqref="T5:T104" showDropDown="0" showInputMessage="0" showErrorMessage="1" allowBlank="1" errorTitle="数字格式无效" error="请输入 0 到 1 之间的数字。" type="decimal" operator="between">
      <formula1>0</formula1>
      <formula2>1</formula2>
    </dataValidation>
    <dataValidation sqref="AB5:AB104" showDropDown="0" showInputMessage="0" showErrorMessage="1" allowBlank="1" errorTitle="数字格式无效" error="请输入 0 到 1000000 之间的数字。" type="whole" operator="between">
      <formula1>0</formula1>
      <formula2>1000000</formula2>
    </dataValidation>
    <dataValidation sqref="AE5:AG104" showDropDown="0" showInputMessage="0" showErrorMessage="1" allowBlank="1" errorTitle="数字格式无效" error="请输入 0 到 9007199254740991 之间的数字。" type="whole" operator="between">
      <formula1>0</formula1>
      <formula2>9007199254740991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6B4F68"/>
    <outlinePr summaryBelow="1" summaryRight="1"/>
    <pageSetUpPr/>
  </sheetPr>
  <dimension ref="A1:R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30" customWidth="1" min="16" max="16"/>
    <col width="16" customWidth="1" min="17" max="17"/>
    <col width="16" customWidth="1" min="18" max="18"/>
  </cols>
  <sheetData>
    <row r="1">
      <c r="A1" s="3" t="inlineStr">
        <is>
          <t>配件 SKU｜隔珠、吊坠、跑环等</t>
        </is>
      </c>
    </row>
    <row r="2"/>
    <row r="4">
      <c r="A4" s="79" t="inlineStr">
        <is>
          <t>导入状态</t>
        </is>
      </c>
      <c r="B4" s="80" t="inlineStr">
        <is>
          <t>product_id*</t>
        </is>
      </c>
      <c r="C4" s="80" t="inlineStr">
        <is>
          <t>sku*</t>
        </is>
      </c>
      <c r="D4" s="80" t="inlineStr">
        <is>
          <t>配件类型*</t>
        </is>
      </c>
      <c r="E4" s="80" t="inlineStr">
        <is>
          <t>材质*</t>
        </is>
      </c>
      <c r="F4" s="80" t="inlineStr">
        <is>
          <t>表面处理*</t>
        </is>
      </c>
      <c r="G4" s="80" t="inlineStr">
        <is>
          <t>直径_mm</t>
        </is>
      </c>
      <c r="H4" s="80" t="inlineStr">
        <is>
          <t>宽度_mm</t>
        </is>
      </c>
      <c r="I4" s="80" t="inlineStr">
        <is>
          <t>高度_mm</t>
        </is>
      </c>
      <c r="J4" s="80" t="inlineStr">
        <is>
          <t>深度_mm</t>
        </is>
      </c>
      <c r="K4" s="80" t="inlineStr">
        <is>
          <t>币种*</t>
        </is>
      </c>
      <c r="L4" s="80" t="inlineStr">
        <is>
          <t>售价_最小单位*</t>
        </is>
      </c>
      <c r="M4" s="80" t="inlineStr">
        <is>
          <t>成本_最小单位*</t>
        </is>
      </c>
      <c r="N4" s="80" t="inlineStr">
        <is>
          <t>model_asset_key</t>
        </is>
      </c>
      <c r="O4" s="80" t="inlineStr">
        <is>
          <t>texture_asset_key</t>
        </is>
      </c>
      <c r="P4" s="80" t="inlineStr">
        <is>
          <t>商品图片文件名*</t>
        </is>
      </c>
      <c r="Q4" s="80" t="inlineStr">
        <is>
          <t>可用库存*</t>
        </is>
      </c>
      <c r="R4" s="81" t="inlineStr">
        <is>
          <t>是否上架*</t>
        </is>
      </c>
    </row>
    <row r="5">
      <c r="A5" s="116">
        <f>IF(COUNTA(B5:R5)=0,"待填写",IF(OR(B5="",C5="",D5="",E5="",F5="",K5="",NOT(ISNUMBER(L5)),NOT(ISNUMBER(M5)),P5="",NOT(ISNUMBER(Q5)),R5=""),"请补全必填",IF(OR(COUNTIF($B$5:$B$54,B5)&gt;1,COUNTIF($C$5:$C$54,C5)&gt;1),"ID重复",IF(OR(ISNA(MATCH(D5,'_枚举'!$Q$2:$Q$7,0)),ISNA(MATCH(E5,'_枚举'!$R$2:$R$7,0)),ISNA(MATCH(F5,'_枚举'!$S$2:$S$6,0)),ISNA(MATCH(K5,'_枚举'!$G$2:$G$3,0)),ISNA(MATCH(R5,'_枚举'!$C$2:$C$3,0))),"枚举错误",IF(OR(NOT(ISNUMBER(L5)),L5&lt;0,NOT(ISNUMBER(M5)),M5&lt;0,NOT(ISNUMBER(Q5)),Q5&lt;0,AND(G5&lt;&gt;"",OR(NOT(ISNUMBER(G5)),G5&lt;=0)),AND(H5&lt;&gt;"",OR(NOT(ISNUMBER(H5)),H5&lt;=0)),AND(I5&lt;&gt;"",OR(NOT(ISNUMBER(I5)),I5&lt;=0)),AND(J5&lt;&gt;"",OR(NOT(ISNUMBER(J5)),J5&lt;=0))),"格式错误","可导入")))))</f>
        <v/>
      </c>
      <c r="B5" s="89" t="inlineStr">
        <is>
          <t>product-spacer-silver-3</t>
        </is>
      </c>
      <c r="C5" s="89" t="inlineStr">
        <is>
          <t>SP-CNY-SILVER-3</t>
        </is>
      </c>
      <c r="D5" s="89" t="inlineStr">
        <is>
          <t>SPACER</t>
        </is>
      </c>
      <c r="E5" s="89" t="inlineStr">
        <is>
          <t>STERLING_SILVER</t>
        </is>
      </c>
      <c r="F5" s="89" t="inlineStr">
        <is>
          <t>POLISHED</t>
        </is>
      </c>
      <c r="G5" s="129" t="n">
        <v>3</v>
      </c>
      <c r="H5" s="129" t="n">
        <v>2</v>
      </c>
      <c r="I5" s="129" t="str"/>
      <c r="J5" s="129" t="str"/>
      <c r="K5" s="89" t="inlineStr">
        <is>
          <t>CNY</t>
        </is>
      </c>
      <c r="L5" s="130" t="n">
        <v>300</v>
      </c>
      <c r="M5" s="130" t="n">
        <v>110</v>
      </c>
      <c r="N5" s="89" t="inlineStr">
        <is>
          <t>spacer-silver-3mm-v1</t>
        </is>
      </c>
      <c r="O5" s="89" t="str"/>
      <c r="P5" s="89" t="inlineStr">
        <is>
          <t>spacer-silver-3.png</t>
        </is>
      </c>
      <c r="Q5" s="130" t="n">
        <v>100</v>
      </c>
      <c r="R5" s="89" t="inlineStr">
        <is>
          <t>TRUE</t>
        </is>
      </c>
    </row>
    <row r="6">
      <c r="A6" s="118">
        <f>IF(COUNTA(B6:R6)=0,"待填写",IF(OR(B6="",C6="",D6="",E6="",F6="",K6="",NOT(ISNUMBER(L6)),NOT(ISNUMBER(M6)),P6="",NOT(ISNUMBER(Q6)),R6=""),"请补全必填",IF(OR(COUNTIF($B$5:$B$54,B6)&gt;1,COUNTIF($C$5:$C$54,C6)&gt;1),"ID重复",IF(OR(ISNA(MATCH(D6,'_枚举'!$Q$2:$Q$7,0)),ISNA(MATCH(E6,'_枚举'!$R$2:$R$7,0)),ISNA(MATCH(F6,'_枚举'!$S$2:$S$6,0)),ISNA(MATCH(K6,'_枚举'!$G$2:$G$3,0)),ISNA(MATCH(R6,'_枚举'!$C$2:$C$3,0))),"枚举错误",IF(OR(NOT(ISNUMBER(L6)),L6&lt;0,NOT(ISNUMBER(M6)),M6&lt;0,NOT(ISNUMBER(Q6)),Q6&lt;0,AND(G6&lt;&gt;"",OR(NOT(ISNUMBER(G6)),G6&lt;=0)),AND(H6&lt;&gt;"",OR(NOT(ISNUMBER(H6)),H6&lt;=0)),AND(I6&lt;&gt;"",OR(NOT(ISNUMBER(I6)),I6&lt;=0)),AND(J6&lt;&gt;"",OR(NOT(ISNUMBER(J6)),J6&lt;=0))),"格式错误","可导入")))))</f>
        <v/>
      </c>
      <c r="B6" s="90" t="inlineStr">
        <is>
          <t>product-pendant-drop-silver-8</t>
        </is>
      </c>
      <c r="C6" s="90" t="inlineStr">
        <is>
          <t>PD-CNY-SILVER-8</t>
        </is>
      </c>
      <c r="D6" s="90" t="inlineStr">
        <is>
          <t>PENDANT</t>
        </is>
      </c>
      <c r="E6" s="90" t="inlineStr">
        <is>
          <t>STERLING_SILVER</t>
        </is>
      </c>
      <c r="F6" s="90" t="inlineStr">
        <is>
          <t>POLISHED</t>
        </is>
      </c>
      <c r="G6" s="131" t="str"/>
      <c r="H6" s="131" t="n">
        <v>5</v>
      </c>
      <c r="I6" s="131" t="n">
        <v>8</v>
      </c>
      <c r="J6" s="131" t="n">
        <v>2</v>
      </c>
      <c r="K6" s="90" t="inlineStr">
        <is>
          <t>CNY</t>
        </is>
      </c>
      <c r="L6" s="132" t="n">
        <v>500</v>
      </c>
      <c r="M6" s="132" t="n">
        <v>180</v>
      </c>
      <c r="N6" s="90" t="inlineStr">
        <is>
          <t>pendant-drop-silver-8mm-v1</t>
        </is>
      </c>
      <c r="O6" s="90" t="str"/>
      <c r="P6" s="90" t="inlineStr">
        <is>
          <t>pendant-drop-silver-8.png</t>
        </is>
      </c>
      <c r="Q6" s="132" t="n">
        <v>100</v>
      </c>
      <c r="R6" s="90" t="inlineStr">
        <is>
          <t>TRUE</t>
        </is>
      </c>
    </row>
    <row r="7">
      <c r="A7" s="118">
        <f>IF(COUNTA(B7:R7)=0,"待填写",IF(OR(B7="",C7="",D7="",E7="",F7="",K7="",NOT(ISNUMBER(L7)),NOT(ISNUMBER(M7)),P7="",NOT(ISNUMBER(Q7)),R7=""),"请补全必填",IF(OR(COUNTIF($B$5:$B$54,B7)&gt;1,COUNTIF($C$5:$C$54,C7)&gt;1),"ID重复",IF(OR(ISNA(MATCH(D7,'_枚举'!$Q$2:$Q$7,0)),ISNA(MATCH(E7,'_枚举'!$R$2:$R$7,0)),ISNA(MATCH(F7,'_枚举'!$S$2:$S$6,0)),ISNA(MATCH(K7,'_枚举'!$G$2:$G$3,0)),ISNA(MATCH(R7,'_枚举'!$C$2:$C$3,0))),"枚举错误",IF(OR(NOT(ISNUMBER(L7)),L7&lt;0,NOT(ISNUMBER(M7)),M7&lt;0,NOT(ISNUMBER(Q7)),Q7&lt;0,AND(G7&lt;&gt;"",OR(NOT(ISNUMBER(G7)),G7&lt;=0)),AND(H7&lt;&gt;"",OR(NOT(ISNUMBER(H7)),H7&lt;=0)),AND(I7&lt;&gt;"",OR(NOT(ISNUMBER(I7)),I7&lt;=0)),AND(J7&lt;&gt;"",OR(NOT(ISNUMBER(J7)),J7&lt;=0))),"格式错误","可导入")))))</f>
        <v/>
      </c>
      <c r="B7" s="90" t="str"/>
      <c r="C7" s="90" t="str"/>
      <c r="D7" s="90" t="str"/>
      <c r="E7" s="90" t="str"/>
      <c r="F7" s="90" t="str"/>
      <c r="G7" s="131" t="str"/>
      <c r="H7" s="131" t="str"/>
      <c r="I7" s="131" t="str"/>
      <c r="J7" s="131" t="str"/>
      <c r="K7" s="90" t="str"/>
      <c r="L7" s="132" t="str"/>
      <c r="M7" s="132" t="str"/>
      <c r="N7" s="90" t="str"/>
      <c r="O7" s="90" t="str"/>
      <c r="P7" s="90" t="str"/>
      <c r="Q7" s="132" t="str"/>
      <c r="R7" s="90" t="str"/>
    </row>
    <row r="8">
      <c r="A8" s="118">
        <f>IF(COUNTA(B8:R8)=0,"待填写",IF(OR(B8="",C8="",D8="",E8="",F8="",K8="",NOT(ISNUMBER(L8)),NOT(ISNUMBER(M8)),P8="",NOT(ISNUMBER(Q8)),R8=""),"请补全必填",IF(OR(COUNTIF($B$5:$B$54,B8)&gt;1,COUNTIF($C$5:$C$54,C8)&gt;1),"ID重复",IF(OR(ISNA(MATCH(D8,'_枚举'!$Q$2:$Q$7,0)),ISNA(MATCH(E8,'_枚举'!$R$2:$R$7,0)),ISNA(MATCH(F8,'_枚举'!$S$2:$S$6,0)),ISNA(MATCH(K8,'_枚举'!$G$2:$G$3,0)),ISNA(MATCH(R8,'_枚举'!$C$2:$C$3,0))),"枚举错误",IF(OR(NOT(ISNUMBER(L8)),L8&lt;0,NOT(ISNUMBER(M8)),M8&lt;0,NOT(ISNUMBER(Q8)),Q8&lt;0,AND(G8&lt;&gt;"",OR(NOT(ISNUMBER(G8)),G8&lt;=0)),AND(H8&lt;&gt;"",OR(NOT(ISNUMBER(H8)),H8&lt;=0)),AND(I8&lt;&gt;"",OR(NOT(ISNUMBER(I8)),I8&lt;=0)),AND(J8&lt;&gt;"",OR(NOT(ISNUMBER(J8)),J8&lt;=0))),"格式错误","可导入")))))</f>
        <v/>
      </c>
      <c r="B8" s="90" t="str"/>
      <c r="C8" s="90" t="str"/>
      <c r="D8" s="90" t="str"/>
      <c r="E8" s="90" t="str"/>
      <c r="F8" s="90" t="str"/>
      <c r="G8" s="131" t="str"/>
      <c r="H8" s="131" t="str"/>
      <c r="I8" s="131" t="str"/>
      <c r="J8" s="131" t="str"/>
      <c r="K8" s="90" t="str"/>
      <c r="L8" s="132" t="str"/>
      <c r="M8" s="132" t="str"/>
      <c r="N8" s="90" t="str"/>
      <c r="O8" s="90" t="str"/>
      <c r="P8" s="90" t="str"/>
      <c r="Q8" s="132" t="str"/>
      <c r="R8" s="90" t="str"/>
    </row>
    <row r="9">
      <c r="A9" s="118">
        <f>IF(COUNTA(B9:R9)=0,"待填写",IF(OR(B9="",C9="",D9="",E9="",F9="",K9="",NOT(ISNUMBER(L9)),NOT(ISNUMBER(M9)),P9="",NOT(ISNUMBER(Q9)),R9=""),"请补全必填",IF(OR(COUNTIF($B$5:$B$54,B9)&gt;1,COUNTIF($C$5:$C$54,C9)&gt;1),"ID重复",IF(OR(ISNA(MATCH(D9,'_枚举'!$Q$2:$Q$7,0)),ISNA(MATCH(E9,'_枚举'!$R$2:$R$7,0)),ISNA(MATCH(F9,'_枚举'!$S$2:$S$6,0)),ISNA(MATCH(K9,'_枚举'!$G$2:$G$3,0)),ISNA(MATCH(R9,'_枚举'!$C$2:$C$3,0))),"枚举错误",IF(OR(NOT(ISNUMBER(L9)),L9&lt;0,NOT(ISNUMBER(M9)),M9&lt;0,NOT(ISNUMBER(Q9)),Q9&lt;0,AND(G9&lt;&gt;"",OR(NOT(ISNUMBER(G9)),G9&lt;=0)),AND(H9&lt;&gt;"",OR(NOT(ISNUMBER(H9)),H9&lt;=0)),AND(I9&lt;&gt;"",OR(NOT(ISNUMBER(I9)),I9&lt;=0)),AND(J9&lt;&gt;"",OR(NOT(ISNUMBER(J9)),J9&lt;=0))),"格式错误","可导入")))))</f>
        <v/>
      </c>
      <c r="B9" s="90" t="str"/>
      <c r="C9" s="90" t="str"/>
      <c r="D9" s="90" t="str"/>
      <c r="E9" s="90" t="str"/>
      <c r="F9" s="90" t="str"/>
      <c r="G9" s="131" t="str"/>
      <c r="H9" s="131" t="str"/>
      <c r="I9" s="131" t="str"/>
      <c r="J9" s="131" t="str"/>
      <c r="K9" s="90" t="str"/>
      <c r="L9" s="132" t="str"/>
      <c r="M9" s="132" t="str"/>
      <c r="N9" s="90" t="str"/>
      <c r="O9" s="90" t="str"/>
      <c r="P9" s="90" t="str"/>
      <c r="Q9" s="132" t="str"/>
      <c r="R9" s="90" t="str"/>
    </row>
    <row r="10">
      <c r="A10" s="118">
        <f>IF(COUNTA(B10:R10)=0,"待填写",IF(OR(B10="",C10="",D10="",E10="",F10="",K10="",NOT(ISNUMBER(L10)),NOT(ISNUMBER(M10)),P10="",NOT(ISNUMBER(Q10)),R10=""),"请补全必填",IF(OR(COUNTIF($B$5:$B$54,B10)&gt;1,COUNTIF($C$5:$C$54,C10)&gt;1),"ID重复",IF(OR(ISNA(MATCH(D10,'_枚举'!$Q$2:$Q$7,0)),ISNA(MATCH(E10,'_枚举'!$R$2:$R$7,0)),ISNA(MATCH(F10,'_枚举'!$S$2:$S$6,0)),ISNA(MATCH(K10,'_枚举'!$G$2:$G$3,0)),ISNA(MATCH(R10,'_枚举'!$C$2:$C$3,0))),"枚举错误",IF(OR(NOT(ISNUMBER(L10)),L10&lt;0,NOT(ISNUMBER(M10)),M10&lt;0,NOT(ISNUMBER(Q10)),Q10&lt;0,AND(G10&lt;&gt;"",OR(NOT(ISNUMBER(G10)),G10&lt;=0)),AND(H10&lt;&gt;"",OR(NOT(ISNUMBER(H10)),H10&lt;=0)),AND(I10&lt;&gt;"",OR(NOT(ISNUMBER(I10)),I10&lt;=0)),AND(J10&lt;&gt;"",OR(NOT(ISNUMBER(J10)),J10&lt;=0))),"格式错误","可导入")))))</f>
        <v/>
      </c>
      <c r="B10" s="90" t="str"/>
      <c r="C10" s="90" t="str"/>
      <c r="D10" s="90" t="str"/>
      <c r="E10" s="90" t="str"/>
      <c r="F10" s="90" t="str"/>
      <c r="G10" s="131" t="str"/>
      <c r="H10" s="131" t="str"/>
      <c r="I10" s="131" t="str"/>
      <c r="J10" s="131" t="str"/>
      <c r="K10" s="90" t="str"/>
      <c r="L10" s="132" t="str"/>
      <c r="M10" s="132" t="str"/>
      <c r="N10" s="90" t="str"/>
      <c r="O10" s="90" t="str"/>
      <c r="P10" s="90" t="str"/>
      <c r="Q10" s="132" t="str"/>
      <c r="R10" s="90" t="str"/>
    </row>
    <row r="11">
      <c r="A11" s="118">
        <f>IF(COUNTA(B11:R11)=0,"待填写",IF(OR(B11="",C11="",D11="",E11="",F11="",K11="",NOT(ISNUMBER(L11)),NOT(ISNUMBER(M11)),P11="",NOT(ISNUMBER(Q11)),R11=""),"请补全必填",IF(OR(COUNTIF($B$5:$B$54,B11)&gt;1,COUNTIF($C$5:$C$54,C11)&gt;1),"ID重复",IF(OR(ISNA(MATCH(D11,'_枚举'!$Q$2:$Q$7,0)),ISNA(MATCH(E11,'_枚举'!$R$2:$R$7,0)),ISNA(MATCH(F11,'_枚举'!$S$2:$S$6,0)),ISNA(MATCH(K11,'_枚举'!$G$2:$G$3,0)),ISNA(MATCH(R11,'_枚举'!$C$2:$C$3,0))),"枚举错误",IF(OR(NOT(ISNUMBER(L11)),L11&lt;0,NOT(ISNUMBER(M11)),M11&lt;0,NOT(ISNUMBER(Q11)),Q11&lt;0,AND(G11&lt;&gt;"",OR(NOT(ISNUMBER(G11)),G11&lt;=0)),AND(H11&lt;&gt;"",OR(NOT(ISNUMBER(H11)),H11&lt;=0)),AND(I11&lt;&gt;"",OR(NOT(ISNUMBER(I11)),I11&lt;=0)),AND(J11&lt;&gt;"",OR(NOT(ISNUMBER(J11)),J11&lt;=0))),"格式错误","可导入")))))</f>
        <v/>
      </c>
      <c r="B11" s="90" t="str"/>
      <c r="C11" s="90" t="str"/>
      <c r="D11" s="90" t="str"/>
      <c r="E11" s="90" t="str"/>
      <c r="F11" s="90" t="str"/>
      <c r="G11" s="131" t="str"/>
      <c r="H11" s="131" t="str"/>
      <c r="I11" s="131" t="str"/>
      <c r="J11" s="131" t="str"/>
      <c r="K11" s="90" t="str"/>
      <c r="L11" s="132" t="str"/>
      <c r="M11" s="132" t="str"/>
      <c r="N11" s="90" t="str"/>
      <c r="O11" s="90" t="str"/>
      <c r="P11" s="90" t="str"/>
      <c r="Q11" s="132" t="str"/>
      <c r="R11" s="90" t="str"/>
    </row>
    <row r="12">
      <c r="A12" s="118">
        <f>IF(COUNTA(B12:R12)=0,"待填写",IF(OR(B12="",C12="",D12="",E12="",F12="",K12="",NOT(ISNUMBER(L12)),NOT(ISNUMBER(M12)),P12="",NOT(ISNUMBER(Q12)),R12=""),"请补全必填",IF(OR(COUNTIF($B$5:$B$54,B12)&gt;1,COUNTIF($C$5:$C$54,C12)&gt;1),"ID重复",IF(OR(ISNA(MATCH(D12,'_枚举'!$Q$2:$Q$7,0)),ISNA(MATCH(E12,'_枚举'!$R$2:$R$7,0)),ISNA(MATCH(F12,'_枚举'!$S$2:$S$6,0)),ISNA(MATCH(K12,'_枚举'!$G$2:$G$3,0)),ISNA(MATCH(R12,'_枚举'!$C$2:$C$3,0))),"枚举错误",IF(OR(NOT(ISNUMBER(L12)),L12&lt;0,NOT(ISNUMBER(M12)),M12&lt;0,NOT(ISNUMBER(Q12)),Q12&lt;0,AND(G12&lt;&gt;"",OR(NOT(ISNUMBER(G12)),G12&lt;=0)),AND(H12&lt;&gt;"",OR(NOT(ISNUMBER(H12)),H12&lt;=0)),AND(I12&lt;&gt;"",OR(NOT(ISNUMBER(I12)),I12&lt;=0)),AND(J12&lt;&gt;"",OR(NOT(ISNUMBER(J12)),J12&lt;=0))),"格式错误","可导入")))))</f>
        <v/>
      </c>
      <c r="B12" s="90" t="str"/>
      <c r="C12" s="90" t="str"/>
      <c r="D12" s="90" t="str"/>
      <c r="E12" s="90" t="str"/>
      <c r="F12" s="90" t="str"/>
      <c r="G12" s="131" t="str"/>
      <c r="H12" s="131" t="str"/>
      <c r="I12" s="131" t="str"/>
      <c r="J12" s="131" t="str"/>
      <c r="K12" s="90" t="str"/>
      <c r="L12" s="132" t="str"/>
      <c r="M12" s="132" t="str"/>
      <c r="N12" s="90" t="str"/>
      <c r="O12" s="90" t="str"/>
      <c r="P12" s="90" t="str"/>
      <c r="Q12" s="132" t="str"/>
      <c r="R12" s="90" t="str"/>
    </row>
    <row r="13">
      <c r="A13" s="118">
        <f>IF(COUNTA(B13:R13)=0,"待填写",IF(OR(B13="",C13="",D13="",E13="",F13="",K13="",NOT(ISNUMBER(L13)),NOT(ISNUMBER(M13)),P13="",NOT(ISNUMBER(Q13)),R13=""),"请补全必填",IF(OR(COUNTIF($B$5:$B$54,B13)&gt;1,COUNTIF($C$5:$C$54,C13)&gt;1),"ID重复",IF(OR(ISNA(MATCH(D13,'_枚举'!$Q$2:$Q$7,0)),ISNA(MATCH(E13,'_枚举'!$R$2:$R$7,0)),ISNA(MATCH(F13,'_枚举'!$S$2:$S$6,0)),ISNA(MATCH(K13,'_枚举'!$G$2:$G$3,0)),ISNA(MATCH(R13,'_枚举'!$C$2:$C$3,0))),"枚举错误",IF(OR(NOT(ISNUMBER(L13)),L13&lt;0,NOT(ISNUMBER(M13)),M13&lt;0,NOT(ISNUMBER(Q13)),Q13&lt;0,AND(G13&lt;&gt;"",OR(NOT(ISNUMBER(G13)),G13&lt;=0)),AND(H13&lt;&gt;"",OR(NOT(ISNUMBER(H13)),H13&lt;=0)),AND(I13&lt;&gt;"",OR(NOT(ISNUMBER(I13)),I13&lt;=0)),AND(J13&lt;&gt;"",OR(NOT(ISNUMBER(J13)),J13&lt;=0))),"格式错误","可导入")))))</f>
        <v/>
      </c>
      <c r="B13" s="90" t="str"/>
      <c r="C13" s="90" t="str"/>
      <c r="D13" s="90" t="str"/>
      <c r="E13" s="90" t="str"/>
      <c r="F13" s="90" t="str"/>
      <c r="G13" s="131" t="str"/>
      <c r="H13" s="131" t="str"/>
      <c r="I13" s="131" t="str"/>
      <c r="J13" s="131" t="str"/>
      <c r="K13" s="90" t="str"/>
      <c r="L13" s="132" t="str"/>
      <c r="M13" s="132" t="str"/>
      <c r="N13" s="90" t="str"/>
      <c r="O13" s="90" t="str"/>
      <c r="P13" s="90" t="str"/>
      <c r="Q13" s="132" t="str"/>
      <c r="R13" s="90" t="str"/>
    </row>
    <row r="14">
      <c r="A14" s="118">
        <f>IF(COUNTA(B14:R14)=0,"待填写",IF(OR(B14="",C14="",D14="",E14="",F14="",K14="",NOT(ISNUMBER(L14)),NOT(ISNUMBER(M14)),P14="",NOT(ISNUMBER(Q14)),R14=""),"请补全必填",IF(OR(COUNTIF($B$5:$B$54,B14)&gt;1,COUNTIF($C$5:$C$54,C14)&gt;1),"ID重复",IF(OR(ISNA(MATCH(D14,'_枚举'!$Q$2:$Q$7,0)),ISNA(MATCH(E14,'_枚举'!$R$2:$R$7,0)),ISNA(MATCH(F14,'_枚举'!$S$2:$S$6,0)),ISNA(MATCH(K14,'_枚举'!$G$2:$G$3,0)),ISNA(MATCH(R14,'_枚举'!$C$2:$C$3,0))),"枚举错误",IF(OR(NOT(ISNUMBER(L14)),L14&lt;0,NOT(ISNUMBER(M14)),M14&lt;0,NOT(ISNUMBER(Q14)),Q14&lt;0,AND(G14&lt;&gt;"",OR(NOT(ISNUMBER(G14)),G14&lt;=0)),AND(H14&lt;&gt;"",OR(NOT(ISNUMBER(H14)),H14&lt;=0)),AND(I14&lt;&gt;"",OR(NOT(ISNUMBER(I14)),I14&lt;=0)),AND(J14&lt;&gt;"",OR(NOT(ISNUMBER(J14)),J14&lt;=0))),"格式错误","可导入")))))</f>
        <v/>
      </c>
      <c r="B14" s="90" t="str"/>
      <c r="C14" s="90" t="str"/>
      <c r="D14" s="90" t="str"/>
      <c r="E14" s="90" t="str"/>
      <c r="F14" s="90" t="str"/>
      <c r="G14" s="131" t="str"/>
      <c r="H14" s="131" t="str"/>
      <c r="I14" s="131" t="str"/>
      <c r="J14" s="131" t="str"/>
      <c r="K14" s="90" t="str"/>
      <c r="L14" s="132" t="str"/>
      <c r="M14" s="132" t="str"/>
      <c r="N14" s="90" t="str"/>
      <c r="O14" s="90" t="str"/>
      <c r="P14" s="90" t="str"/>
      <c r="Q14" s="132" t="str"/>
      <c r="R14" s="90" t="str"/>
    </row>
    <row r="15">
      <c r="A15" s="118">
        <f>IF(COUNTA(B15:R15)=0,"待填写",IF(OR(B15="",C15="",D15="",E15="",F15="",K15="",NOT(ISNUMBER(L15)),NOT(ISNUMBER(M15)),P15="",NOT(ISNUMBER(Q15)),R15=""),"请补全必填",IF(OR(COUNTIF($B$5:$B$54,B15)&gt;1,COUNTIF($C$5:$C$54,C15)&gt;1),"ID重复",IF(OR(ISNA(MATCH(D15,'_枚举'!$Q$2:$Q$7,0)),ISNA(MATCH(E15,'_枚举'!$R$2:$R$7,0)),ISNA(MATCH(F15,'_枚举'!$S$2:$S$6,0)),ISNA(MATCH(K15,'_枚举'!$G$2:$G$3,0)),ISNA(MATCH(R15,'_枚举'!$C$2:$C$3,0))),"枚举错误",IF(OR(NOT(ISNUMBER(L15)),L15&lt;0,NOT(ISNUMBER(M15)),M15&lt;0,NOT(ISNUMBER(Q15)),Q15&lt;0,AND(G15&lt;&gt;"",OR(NOT(ISNUMBER(G15)),G15&lt;=0)),AND(H15&lt;&gt;"",OR(NOT(ISNUMBER(H15)),H15&lt;=0)),AND(I15&lt;&gt;"",OR(NOT(ISNUMBER(I15)),I15&lt;=0)),AND(J15&lt;&gt;"",OR(NOT(ISNUMBER(J15)),J15&lt;=0))),"格式错误","可导入")))))</f>
        <v/>
      </c>
      <c r="B15" s="90" t="str"/>
      <c r="C15" s="90" t="str"/>
      <c r="D15" s="90" t="str"/>
      <c r="E15" s="90" t="str"/>
      <c r="F15" s="90" t="str"/>
      <c r="G15" s="131" t="str"/>
      <c r="H15" s="131" t="str"/>
      <c r="I15" s="131" t="str"/>
      <c r="J15" s="131" t="str"/>
      <c r="K15" s="90" t="str"/>
      <c r="L15" s="132" t="str"/>
      <c r="M15" s="132" t="str"/>
      <c r="N15" s="90" t="str"/>
      <c r="O15" s="90" t="str"/>
      <c r="P15" s="90" t="str"/>
      <c r="Q15" s="132" t="str"/>
      <c r="R15" s="90" t="str"/>
    </row>
    <row r="16">
      <c r="A16" s="118">
        <f>IF(COUNTA(B16:R16)=0,"待填写",IF(OR(B16="",C16="",D16="",E16="",F16="",K16="",NOT(ISNUMBER(L16)),NOT(ISNUMBER(M16)),P16="",NOT(ISNUMBER(Q16)),R16=""),"请补全必填",IF(OR(COUNTIF($B$5:$B$54,B16)&gt;1,COUNTIF($C$5:$C$54,C16)&gt;1),"ID重复",IF(OR(ISNA(MATCH(D16,'_枚举'!$Q$2:$Q$7,0)),ISNA(MATCH(E16,'_枚举'!$R$2:$R$7,0)),ISNA(MATCH(F16,'_枚举'!$S$2:$S$6,0)),ISNA(MATCH(K16,'_枚举'!$G$2:$G$3,0)),ISNA(MATCH(R16,'_枚举'!$C$2:$C$3,0))),"枚举错误",IF(OR(NOT(ISNUMBER(L16)),L16&lt;0,NOT(ISNUMBER(M16)),M16&lt;0,NOT(ISNUMBER(Q16)),Q16&lt;0,AND(G16&lt;&gt;"",OR(NOT(ISNUMBER(G16)),G16&lt;=0)),AND(H16&lt;&gt;"",OR(NOT(ISNUMBER(H16)),H16&lt;=0)),AND(I16&lt;&gt;"",OR(NOT(ISNUMBER(I16)),I16&lt;=0)),AND(J16&lt;&gt;"",OR(NOT(ISNUMBER(J16)),J16&lt;=0))),"格式错误","可导入")))))</f>
        <v/>
      </c>
      <c r="B16" s="90" t="str"/>
      <c r="C16" s="90" t="str"/>
      <c r="D16" s="90" t="str"/>
      <c r="E16" s="90" t="str"/>
      <c r="F16" s="90" t="str"/>
      <c r="G16" s="131" t="str"/>
      <c r="H16" s="131" t="str"/>
      <c r="I16" s="131" t="str"/>
      <c r="J16" s="131" t="str"/>
      <c r="K16" s="90" t="str"/>
      <c r="L16" s="132" t="str"/>
      <c r="M16" s="132" t="str"/>
      <c r="N16" s="90" t="str"/>
      <c r="O16" s="90" t="str"/>
      <c r="P16" s="90" t="str"/>
      <c r="Q16" s="132" t="str"/>
      <c r="R16" s="90" t="str"/>
    </row>
    <row r="17">
      <c r="A17" s="118">
        <f>IF(COUNTA(B17:R17)=0,"待填写",IF(OR(B17="",C17="",D17="",E17="",F17="",K17="",NOT(ISNUMBER(L17)),NOT(ISNUMBER(M17)),P17="",NOT(ISNUMBER(Q17)),R17=""),"请补全必填",IF(OR(COUNTIF($B$5:$B$54,B17)&gt;1,COUNTIF($C$5:$C$54,C17)&gt;1),"ID重复",IF(OR(ISNA(MATCH(D17,'_枚举'!$Q$2:$Q$7,0)),ISNA(MATCH(E17,'_枚举'!$R$2:$R$7,0)),ISNA(MATCH(F17,'_枚举'!$S$2:$S$6,0)),ISNA(MATCH(K17,'_枚举'!$G$2:$G$3,0)),ISNA(MATCH(R17,'_枚举'!$C$2:$C$3,0))),"枚举错误",IF(OR(NOT(ISNUMBER(L17)),L17&lt;0,NOT(ISNUMBER(M17)),M17&lt;0,NOT(ISNUMBER(Q17)),Q17&lt;0,AND(G17&lt;&gt;"",OR(NOT(ISNUMBER(G17)),G17&lt;=0)),AND(H17&lt;&gt;"",OR(NOT(ISNUMBER(H17)),H17&lt;=0)),AND(I17&lt;&gt;"",OR(NOT(ISNUMBER(I17)),I17&lt;=0)),AND(J17&lt;&gt;"",OR(NOT(ISNUMBER(J17)),J17&lt;=0))),"格式错误","可导入")))))</f>
        <v/>
      </c>
      <c r="B17" s="90" t="str"/>
      <c r="C17" s="90" t="str"/>
      <c r="D17" s="90" t="str"/>
      <c r="E17" s="90" t="str"/>
      <c r="F17" s="90" t="str"/>
      <c r="G17" s="131" t="str"/>
      <c r="H17" s="131" t="str"/>
      <c r="I17" s="131" t="str"/>
      <c r="J17" s="131" t="str"/>
      <c r="K17" s="90" t="str"/>
      <c r="L17" s="132" t="str"/>
      <c r="M17" s="132" t="str"/>
      <c r="N17" s="90" t="str"/>
      <c r="O17" s="90" t="str"/>
      <c r="P17" s="90" t="str"/>
      <c r="Q17" s="132" t="str"/>
      <c r="R17" s="90" t="str"/>
    </row>
    <row r="18">
      <c r="A18" s="118">
        <f>IF(COUNTA(B18:R18)=0,"待填写",IF(OR(B18="",C18="",D18="",E18="",F18="",K18="",NOT(ISNUMBER(L18)),NOT(ISNUMBER(M18)),P18="",NOT(ISNUMBER(Q18)),R18=""),"请补全必填",IF(OR(COUNTIF($B$5:$B$54,B18)&gt;1,COUNTIF($C$5:$C$54,C18)&gt;1),"ID重复",IF(OR(ISNA(MATCH(D18,'_枚举'!$Q$2:$Q$7,0)),ISNA(MATCH(E18,'_枚举'!$R$2:$R$7,0)),ISNA(MATCH(F18,'_枚举'!$S$2:$S$6,0)),ISNA(MATCH(K18,'_枚举'!$G$2:$G$3,0)),ISNA(MATCH(R18,'_枚举'!$C$2:$C$3,0))),"枚举错误",IF(OR(NOT(ISNUMBER(L18)),L18&lt;0,NOT(ISNUMBER(M18)),M18&lt;0,NOT(ISNUMBER(Q18)),Q18&lt;0,AND(G18&lt;&gt;"",OR(NOT(ISNUMBER(G18)),G18&lt;=0)),AND(H18&lt;&gt;"",OR(NOT(ISNUMBER(H18)),H18&lt;=0)),AND(I18&lt;&gt;"",OR(NOT(ISNUMBER(I18)),I18&lt;=0)),AND(J18&lt;&gt;"",OR(NOT(ISNUMBER(J18)),J18&lt;=0))),"格式错误","可导入")))))</f>
        <v/>
      </c>
      <c r="B18" s="90" t="str"/>
      <c r="C18" s="90" t="str"/>
      <c r="D18" s="90" t="str"/>
      <c r="E18" s="90" t="str"/>
      <c r="F18" s="90" t="str"/>
      <c r="G18" s="131" t="str"/>
      <c r="H18" s="131" t="str"/>
      <c r="I18" s="131" t="str"/>
      <c r="J18" s="131" t="str"/>
      <c r="K18" s="90" t="str"/>
      <c r="L18" s="132" t="str"/>
      <c r="M18" s="132" t="str"/>
      <c r="N18" s="90" t="str"/>
      <c r="O18" s="90" t="str"/>
      <c r="P18" s="90" t="str"/>
      <c r="Q18" s="132" t="str"/>
      <c r="R18" s="90" t="str"/>
    </row>
    <row r="19">
      <c r="A19" s="118">
        <f>IF(COUNTA(B19:R19)=0,"待填写",IF(OR(B19="",C19="",D19="",E19="",F19="",K19="",NOT(ISNUMBER(L19)),NOT(ISNUMBER(M19)),P19="",NOT(ISNUMBER(Q19)),R19=""),"请补全必填",IF(OR(COUNTIF($B$5:$B$54,B19)&gt;1,COUNTIF($C$5:$C$54,C19)&gt;1),"ID重复",IF(OR(ISNA(MATCH(D19,'_枚举'!$Q$2:$Q$7,0)),ISNA(MATCH(E19,'_枚举'!$R$2:$R$7,0)),ISNA(MATCH(F19,'_枚举'!$S$2:$S$6,0)),ISNA(MATCH(K19,'_枚举'!$G$2:$G$3,0)),ISNA(MATCH(R19,'_枚举'!$C$2:$C$3,0))),"枚举错误",IF(OR(NOT(ISNUMBER(L19)),L19&lt;0,NOT(ISNUMBER(M19)),M19&lt;0,NOT(ISNUMBER(Q19)),Q19&lt;0,AND(G19&lt;&gt;"",OR(NOT(ISNUMBER(G19)),G19&lt;=0)),AND(H19&lt;&gt;"",OR(NOT(ISNUMBER(H19)),H19&lt;=0)),AND(I19&lt;&gt;"",OR(NOT(ISNUMBER(I19)),I19&lt;=0)),AND(J19&lt;&gt;"",OR(NOT(ISNUMBER(J19)),J19&lt;=0))),"格式错误","可导入")))))</f>
        <v/>
      </c>
      <c r="B19" s="90" t="str"/>
      <c r="C19" s="90" t="str"/>
      <c r="D19" s="90" t="str"/>
      <c r="E19" s="90" t="str"/>
      <c r="F19" s="90" t="str"/>
      <c r="G19" s="131" t="str"/>
      <c r="H19" s="131" t="str"/>
      <c r="I19" s="131" t="str"/>
      <c r="J19" s="131" t="str"/>
      <c r="K19" s="90" t="str"/>
      <c r="L19" s="132" t="str"/>
      <c r="M19" s="132" t="str"/>
      <c r="N19" s="90" t="str"/>
      <c r="O19" s="90" t="str"/>
      <c r="P19" s="90" t="str"/>
      <c r="Q19" s="132" t="str"/>
      <c r="R19" s="90" t="str"/>
    </row>
    <row r="20">
      <c r="A20" s="118">
        <f>IF(COUNTA(B20:R20)=0,"待填写",IF(OR(B20="",C20="",D20="",E20="",F20="",K20="",NOT(ISNUMBER(L20)),NOT(ISNUMBER(M20)),P20="",NOT(ISNUMBER(Q20)),R20=""),"请补全必填",IF(OR(COUNTIF($B$5:$B$54,B20)&gt;1,COUNTIF($C$5:$C$54,C20)&gt;1),"ID重复",IF(OR(ISNA(MATCH(D20,'_枚举'!$Q$2:$Q$7,0)),ISNA(MATCH(E20,'_枚举'!$R$2:$R$7,0)),ISNA(MATCH(F20,'_枚举'!$S$2:$S$6,0)),ISNA(MATCH(K20,'_枚举'!$G$2:$G$3,0)),ISNA(MATCH(R20,'_枚举'!$C$2:$C$3,0))),"枚举错误",IF(OR(NOT(ISNUMBER(L20)),L20&lt;0,NOT(ISNUMBER(M20)),M20&lt;0,NOT(ISNUMBER(Q20)),Q20&lt;0,AND(G20&lt;&gt;"",OR(NOT(ISNUMBER(G20)),G20&lt;=0)),AND(H20&lt;&gt;"",OR(NOT(ISNUMBER(H20)),H20&lt;=0)),AND(I20&lt;&gt;"",OR(NOT(ISNUMBER(I20)),I20&lt;=0)),AND(J20&lt;&gt;"",OR(NOT(ISNUMBER(J20)),J20&lt;=0))),"格式错误","可导入")))))</f>
        <v/>
      </c>
      <c r="B20" s="90" t="str"/>
      <c r="C20" s="90" t="str"/>
      <c r="D20" s="90" t="str"/>
      <c r="E20" s="90" t="str"/>
      <c r="F20" s="90" t="str"/>
      <c r="G20" s="131" t="str"/>
      <c r="H20" s="131" t="str"/>
      <c r="I20" s="131" t="str"/>
      <c r="J20" s="131" t="str"/>
      <c r="K20" s="90" t="str"/>
      <c r="L20" s="132" t="str"/>
      <c r="M20" s="132" t="str"/>
      <c r="N20" s="90" t="str"/>
      <c r="O20" s="90" t="str"/>
      <c r="P20" s="90" t="str"/>
      <c r="Q20" s="132" t="str"/>
      <c r="R20" s="90" t="str"/>
    </row>
    <row r="21">
      <c r="A21" s="118">
        <f>IF(COUNTA(B21:R21)=0,"待填写",IF(OR(B21="",C21="",D21="",E21="",F21="",K21="",NOT(ISNUMBER(L21)),NOT(ISNUMBER(M21)),P21="",NOT(ISNUMBER(Q21)),R21=""),"请补全必填",IF(OR(COUNTIF($B$5:$B$54,B21)&gt;1,COUNTIF($C$5:$C$54,C21)&gt;1),"ID重复",IF(OR(ISNA(MATCH(D21,'_枚举'!$Q$2:$Q$7,0)),ISNA(MATCH(E21,'_枚举'!$R$2:$R$7,0)),ISNA(MATCH(F21,'_枚举'!$S$2:$S$6,0)),ISNA(MATCH(K21,'_枚举'!$G$2:$G$3,0)),ISNA(MATCH(R21,'_枚举'!$C$2:$C$3,0))),"枚举错误",IF(OR(NOT(ISNUMBER(L21)),L21&lt;0,NOT(ISNUMBER(M21)),M21&lt;0,NOT(ISNUMBER(Q21)),Q21&lt;0,AND(G21&lt;&gt;"",OR(NOT(ISNUMBER(G21)),G21&lt;=0)),AND(H21&lt;&gt;"",OR(NOT(ISNUMBER(H21)),H21&lt;=0)),AND(I21&lt;&gt;"",OR(NOT(ISNUMBER(I21)),I21&lt;=0)),AND(J21&lt;&gt;"",OR(NOT(ISNUMBER(J21)),J21&lt;=0))),"格式错误","可导入")))))</f>
        <v/>
      </c>
      <c r="B21" s="90" t="str"/>
      <c r="C21" s="90" t="str"/>
      <c r="D21" s="90" t="str"/>
      <c r="E21" s="90" t="str"/>
      <c r="F21" s="90" t="str"/>
      <c r="G21" s="131" t="str"/>
      <c r="H21" s="131" t="str"/>
      <c r="I21" s="131" t="str"/>
      <c r="J21" s="131" t="str"/>
      <c r="K21" s="90" t="str"/>
      <c r="L21" s="132" t="str"/>
      <c r="M21" s="132" t="str"/>
      <c r="N21" s="90" t="str"/>
      <c r="O21" s="90" t="str"/>
      <c r="P21" s="90" t="str"/>
      <c r="Q21" s="132" t="str"/>
      <c r="R21" s="90" t="str"/>
    </row>
    <row r="22">
      <c r="A22" s="118">
        <f>IF(COUNTA(B22:R22)=0,"待填写",IF(OR(B22="",C22="",D22="",E22="",F22="",K22="",NOT(ISNUMBER(L22)),NOT(ISNUMBER(M22)),P22="",NOT(ISNUMBER(Q22)),R22=""),"请补全必填",IF(OR(COUNTIF($B$5:$B$54,B22)&gt;1,COUNTIF($C$5:$C$54,C22)&gt;1),"ID重复",IF(OR(ISNA(MATCH(D22,'_枚举'!$Q$2:$Q$7,0)),ISNA(MATCH(E22,'_枚举'!$R$2:$R$7,0)),ISNA(MATCH(F22,'_枚举'!$S$2:$S$6,0)),ISNA(MATCH(K22,'_枚举'!$G$2:$G$3,0)),ISNA(MATCH(R22,'_枚举'!$C$2:$C$3,0))),"枚举错误",IF(OR(NOT(ISNUMBER(L22)),L22&lt;0,NOT(ISNUMBER(M22)),M22&lt;0,NOT(ISNUMBER(Q22)),Q22&lt;0,AND(G22&lt;&gt;"",OR(NOT(ISNUMBER(G22)),G22&lt;=0)),AND(H22&lt;&gt;"",OR(NOT(ISNUMBER(H22)),H22&lt;=0)),AND(I22&lt;&gt;"",OR(NOT(ISNUMBER(I22)),I22&lt;=0)),AND(J22&lt;&gt;"",OR(NOT(ISNUMBER(J22)),J22&lt;=0))),"格式错误","可导入")))))</f>
        <v/>
      </c>
      <c r="B22" s="90" t="str"/>
      <c r="C22" s="90" t="str"/>
      <c r="D22" s="90" t="str"/>
      <c r="E22" s="90" t="str"/>
      <c r="F22" s="90" t="str"/>
      <c r="G22" s="131" t="str"/>
      <c r="H22" s="131" t="str"/>
      <c r="I22" s="131" t="str"/>
      <c r="J22" s="131" t="str"/>
      <c r="K22" s="90" t="str"/>
      <c r="L22" s="132" t="str"/>
      <c r="M22" s="132" t="str"/>
      <c r="N22" s="90" t="str"/>
      <c r="O22" s="90" t="str"/>
      <c r="P22" s="90" t="str"/>
      <c r="Q22" s="132" t="str"/>
      <c r="R22" s="90" t="str"/>
    </row>
    <row r="23">
      <c r="A23" s="118">
        <f>IF(COUNTA(B23:R23)=0,"待填写",IF(OR(B23="",C23="",D23="",E23="",F23="",K23="",NOT(ISNUMBER(L23)),NOT(ISNUMBER(M23)),P23="",NOT(ISNUMBER(Q23)),R23=""),"请补全必填",IF(OR(COUNTIF($B$5:$B$54,B23)&gt;1,COUNTIF($C$5:$C$54,C23)&gt;1),"ID重复",IF(OR(ISNA(MATCH(D23,'_枚举'!$Q$2:$Q$7,0)),ISNA(MATCH(E23,'_枚举'!$R$2:$R$7,0)),ISNA(MATCH(F23,'_枚举'!$S$2:$S$6,0)),ISNA(MATCH(K23,'_枚举'!$G$2:$G$3,0)),ISNA(MATCH(R23,'_枚举'!$C$2:$C$3,0))),"枚举错误",IF(OR(NOT(ISNUMBER(L23)),L23&lt;0,NOT(ISNUMBER(M23)),M23&lt;0,NOT(ISNUMBER(Q23)),Q23&lt;0,AND(G23&lt;&gt;"",OR(NOT(ISNUMBER(G23)),G23&lt;=0)),AND(H23&lt;&gt;"",OR(NOT(ISNUMBER(H23)),H23&lt;=0)),AND(I23&lt;&gt;"",OR(NOT(ISNUMBER(I23)),I23&lt;=0)),AND(J23&lt;&gt;"",OR(NOT(ISNUMBER(J23)),J23&lt;=0))),"格式错误","可导入")))))</f>
        <v/>
      </c>
      <c r="B23" s="90" t="str"/>
      <c r="C23" s="90" t="str"/>
      <c r="D23" s="90" t="str"/>
      <c r="E23" s="90" t="str"/>
      <c r="F23" s="90" t="str"/>
      <c r="G23" s="131" t="str"/>
      <c r="H23" s="131" t="str"/>
      <c r="I23" s="131" t="str"/>
      <c r="J23" s="131" t="str"/>
      <c r="K23" s="90" t="str"/>
      <c r="L23" s="132" t="str"/>
      <c r="M23" s="132" t="str"/>
      <c r="N23" s="90" t="str"/>
      <c r="O23" s="90" t="str"/>
      <c r="P23" s="90" t="str"/>
      <c r="Q23" s="132" t="str"/>
      <c r="R23" s="90" t="str"/>
    </row>
    <row r="24">
      <c r="A24" s="118">
        <f>IF(COUNTA(B24:R24)=0,"待填写",IF(OR(B24="",C24="",D24="",E24="",F24="",K24="",NOT(ISNUMBER(L24)),NOT(ISNUMBER(M24)),P24="",NOT(ISNUMBER(Q24)),R24=""),"请补全必填",IF(OR(COUNTIF($B$5:$B$54,B24)&gt;1,COUNTIF($C$5:$C$54,C24)&gt;1),"ID重复",IF(OR(ISNA(MATCH(D24,'_枚举'!$Q$2:$Q$7,0)),ISNA(MATCH(E24,'_枚举'!$R$2:$R$7,0)),ISNA(MATCH(F24,'_枚举'!$S$2:$S$6,0)),ISNA(MATCH(K24,'_枚举'!$G$2:$G$3,0)),ISNA(MATCH(R24,'_枚举'!$C$2:$C$3,0))),"枚举错误",IF(OR(NOT(ISNUMBER(L24)),L24&lt;0,NOT(ISNUMBER(M24)),M24&lt;0,NOT(ISNUMBER(Q24)),Q24&lt;0,AND(G24&lt;&gt;"",OR(NOT(ISNUMBER(G24)),G24&lt;=0)),AND(H24&lt;&gt;"",OR(NOT(ISNUMBER(H24)),H24&lt;=0)),AND(I24&lt;&gt;"",OR(NOT(ISNUMBER(I24)),I24&lt;=0)),AND(J24&lt;&gt;"",OR(NOT(ISNUMBER(J24)),J24&lt;=0))),"格式错误","可导入")))))</f>
        <v/>
      </c>
      <c r="B24" s="90" t="str"/>
      <c r="C24" s="90" t="str"/>
      <c r="D24" s="90" t="str"/>
      <c r="E24" s="90" t="str"/>
      <c r="F24" s="90" t="str"/>
      <c r="G24" s="131" t="str"/>
      <c r="H24" s="131" t="str"/>
      <c r="I24" s="131" t="str"/>
      <c r="J24" s="131" t="str"/>
      <c r="K24" s="90" t="str"/>
      <c r="L24" s="132" t="str"/>
      <c r="M24" s="132" t="str"/>
      <c r="N24" s="90" t="str"/>
      <c r="O24" s="90" t="str"/>
      <c r="P24" s="90" t="str"/>
      <c r="Q24" s="132" t="str"/>
      <c r="R24" s="90" t="str"/>
    </row>
    <row r="25">
      <c r="A25" s="118">
        <f>IF(COUNTA(B25:R25)=0,"待填写",IF(OR(B25="",C25="",D25="",E25="",F25="",K25="",NOT(ISNUMBER(L25)),NOT(ISNUMBER(M25)),P25="",NOT(ISNUMBER(Q25)),R25=""),"请补全必填",IF(OR(COUNTIF($B$5:$B$54,B25)&gt;1,COUNTIF($C$5:$C$54,C25)&gt;1),"ID重复",IF(OR(ISNA(MATCH(D25,'_枚举'!$Q$2:$Q$7,0)),ISNA(MATCH(E25,'_枚举'!$R$2:$R$7,0)),ISNA(MATCH(F25,'_枚举'!$S$2:$S$6,0)),ISNA(MATCH(K25,'_枚举'!$G$2:$G$3,0)),ISNA(MATCH(R25,'_枚举'!$C$2:$C$3,0))),"枚举错误",IF(OR(NOT(ISNUMBER(L25)),L25&lt;0,NOT(ISNUMBER(M25)),M25&lt;0,NOT(ISNUMBER(Q25)),Q25&lt;0,AND(G25&lt;&gt;"",OR(NOT(ISNUMBER(G25)),G25&lt;=0)),AND(H25&lt;&gt;"",OR(NOT(ISNUMBER(H25)),H25&lt;=0)),AND(I25&lt;&gt;"",OR(NOT(ISNUMBER(I25)),I25&lt;=0)),AND(J25&lt;&gt;"",OR(NOT(ISNUMBER(J25)),J25&lt;=0))),"格式错误","可导入")))))</f>
        <v/>
      </c>
      <c r="B25" s="90" t="str"/>
      <c r="C25" s="90" t="str"/>
      <c r="D25" s="90" t="str"/>
      <c r="E25" s="90" t="str"/>
      <c r="F25" s="90" t="str"/>
      <c r="G25" s="131" t="str"/>
      <c r="H25" s="131" t="str"/>
      <c r="I25" s="131" t="str"/>
      <c r="J25" s="131" t="str"/>
      <c r="K25" s="90" t="str"/>
      <c r="L25" s="132" t="str"/>
      <c r="M25" s="132" t="str"/>
      <c r="N25" s="90" t="str"/>
      <c r="O25" s="90" t="str"/>
      <c r="P25" s="90" t="str"/>
      <c r="Q25" s="132" t="str"/>
      <c r="R25" s="90" t="str"/>
    </row>
    <row r="26">
      <c r="A26" s="118">
        <f>IF(COUNTA(B26:R26)=0,"待填写",IF(OR(B26="",C26="",D26="",E26="",F26="",K26="",NOT(ISNUMBER(L26)),NOT(ISNUMBER(M26)),P26="",NOT(ISNUMBER(Q26)),R26=""),"请补全必填",IF(OR(COUNTIF($B$5:$B$54,B26)&gt;1,COUNTIF($C$5:$C$54,C26)&gt;1),"ID重复",IF(OR(ISNA(MATCH(D26,'_枚举'!$Q$2:$Q$7,0)),ISNA(MATCH(E26,'_枚举'!$R$2:$R$7,0)),ISNA(MATCH(F26,'_枚举'!$S$2:$S$6,0)),ISNA(MATCH(K26,'_枚举'!$G$2:$G$3,0)),ISNA(MATCH(R26,'_枚举'!$C$2:$C$3,0))),"枚举错误",IF(OR(NOT(ISNUMBER(L26)),L26&lt;0,NOT(ISNUMBER(M26)),M26&lt;0,NOT(ISNUMBER(Q26)),Q26&lt;0,AND(G26&lt;&gt;"",OR(NOT(ISNUMBER(G26)),G26&lt;=0)),AND(H26&lt;&gt;"",OR(NOT(ISNUMBER(H26)),H26&lt;=0)),AND(I26&lt;&gt;"",OR(NOT(ISNUMBER(I26)),I26&lt;=0)),AND(J26&lt;&gt;"",OR(NOT(ISNUMBER(J26)),J26&lt;=0))),"格式错误","可导入")))))</f>
        <v/>
      </c>
      <c r="B26" s="90" t="str"/>
      <c r="C26" s="90" t="str"/>
      <c r="D26" s="90" t="str"/>
      <c r="E26" s="90" t="str"/>
      <c r="F26" s="90" t="str"/>
      <c r="G26" s="131" t="str"/>
      <c r="H26" s="131" t="str"/>
      <c r="I26" s="131" t="str"/>
      <c r="J26" s="131" t="str"/>
      <c r="K26" s="90" t="str"/>
      <c r="L26" s="132" t="str"/>
      <c r="M26" s="132" t="str"/>
      <c r="N26" s="90" t="str"/>
      <c r="O26" s="90" t="str"/>
      <c r="P26" s="90" t="str"/>
      <c r="Q26" s="132" t="str"/>
      <c r="R26" s="90" t="str"/>
    </row>
    <row r="27">
      <c r="A27" s="118">
        <f>IF(COUNTA(B27:R27)=0,"待填写",IF(OR(B27="",C27="",D27="",E27="",F27="",K27="",NOT(ISNUMBER(L27)),NOT(ISNUMBER(M27)),P27="",NOT(ISNUMBER(Q27)),R27=""),"请补全必填",IF(OR(COUNTIF($B$5:$B$54,B27)&gt;1,COUNTIF($C$5:$C$54,C27)&gt;1),"ID重复",IF(OR(ISNA(MATCH(D27,'_枚举'!$Q$2:$Q$7,0)),ISNA(MATCH(E27,'_枚举'!$R$2:$R$7,0)),ISNA(MATCH(F27,'_枚举'!$S$2:$S$6,0)),ISNA(MATCH(K27,'_枚举'!$G$2:$G$3,0)),ISNA(MATCH(R27,'_枚举'!$C$2:$C$3,0))),"枚举错误",IF(OR(NOT(ISNUMBER(L27)),L27&lt;0,NOT(ISNUMBER(M27)),M27&lt;0,NOT(ISNUMBER(Q27)),Q27&lt;0,AND(G27&lt;&gt;"",OR(NOT(ISNUMBER(G27)),G27&lt;=0)),AND(H27&lt;&gt;"",OR(NOT(ISNUMBER(H27)),H27&lt;=0)),AND(I27&lt;&gt;"",OR(NOT(ISNUMBER(I27)),I27&lt;=0)),AND(J27&lt;&gt;"",OR(NOT(ISNUMBER(J27)),J27&lt;=0))),"格式错误","可导入")))))</f>
        <v/>
      </c>
      <c r="B27" s="90" t="str"/>
      <c r="C27" s="90" t="str"/>
      <c r="D27" s="90" t="str"/>
      <c r="E27" s="90" t="str"/>
      <c r="F27" s="90" t="str"/>
      <c r="G27" s="131" t="str"/>
      <c r="H27" s="131" t="str"/>
      <c r="I27" s="131" t="str"/>
      <c r="J27" s="131" t="str"/>
      <c r="K27" s="90" t="str"/>
      <c r="L27" s="132" t="str"/>
      <c r="M27" s="132" t="str"/>
      <c r="N27" s="90" t="str"/>
      <c r="O27" s="90" t="str"/>
      <c r="P27" s="90" t="str"/>
      <c r="Q27" s="132" t="str"/>
      <c r="R27" s="90" t="str"/>
    </row>
    <row r="28">
      <c r="A28" s="118">
        <f>IF(COUNTA(B28:R28)=0,"待填写",IF(OR(B28="",C28="",D28="",E28="",F28="",K28="",NOT(ISNUMBER(L28)),NOT(ISNUMBER(M28)),P28="",NOT(ISNUMBER(Q28)),R28=""),"请补全必填",IF(OR(COUNTIF($B$5:$B$54,B28)&gt;1,COUNTIF($C$5:$C$54,C28)&gt;1),"ID重复",IF(OR(ISNA(MATCH(D28,'_枚举'!$Q$2:$Q$7,0)),ISNA(MATCH(E28,'_枚举'!$R$2:$R$7,0)),ISNA(MATCH(F28,'_枚举'!$S$2:$S$6,0)),ISNA(MATCH(K28,'_枚举'!$G$2:$G$3,0)),ISNA(MATCH(R28,'_枚举'!$C$2:$C$3,0))),"枚举错误",IF(OR(NOT(ISNUMBER(L28)),L28&lt;0,NOT(ISNUMBER(M28)),M28&lt;0,NOT(ISNUMBER(Q28)),Q28&lt;0,AND(G28&lt;&gt;"",OR(NOT(ISNUMBER(G28)),G28&lt;=0)),AND(H28&lt;&gt;"",OR(NOT(ISNUMBER(H28)),H28&lt;=0)),AND(I28&lt;&gt;"",OR(NOT(ISNUMBER(I28)),I28&lt;=0)),AND(J28&lt;&gt;"",OR(NOT(ISNUMBER(J28)),J28&lt;=0))),"格式错误","可导入")))))</f>
        <v/>
      </c>
      <c r="B28" s="90" t="str"/>
      <c r="C28" s="90" t="str"/>
      <c r="D28" s="90" t="str"/>
      <c r="E28" s="90" t="str"/>
      <c r="F28" s="90" t="str"/>
      <c r="G28" s="131" t="str"/>
      <c r="H28" s="131" t="str"/>
      <c r="I28" s="131" t="str"/>
      <c r="J28" s="131" t="str"/>
      <c r="K28" s="90" t="str"/>
      <c r="L28" s="132" t="str"/>
      <c r="M28" s="132" t="str"/>
      <c r="N28" s="90" t="str"/>
      <c r="O28" s="90" t="str"/>
      <c r="P28" s="90" t="str"/>
      <c r="Q28" s="132" t="str"/>
      <c r="R28" s="90" t="str"/>
    </row>
    <row r="29">
      <c r="A29" s="118">
        <f>IF(COUNTA(B29:R29)=0,"待填写",IF(OR(B29="",C29="",D29="",E29="",F29="",K29="",NOT(ISNUMBER(L29)),NOT(ISNUMBER(M29)),P29="",NOT(ISNUMBER(Q29)),R29=""),"请补全必填",IF(OR(COUNTIF($B$5:$B$54,B29)&gt;1,COUNTIF($C$5:$C$54,C29)&gt;1),"ID重复",IF(OR(ISNA(MATCH(D29,'_枚举'!$Q$2:$Q$7,0)),ISNA(MATCH(E29,'_枚举'!$R$2:$R$7,0)),ISNA(MATCH(F29,'_枚举'!$S$2:$S$6,0)),ISNA(MATCH(K29,'_枚举'!$G$2:$G$3,0)),ISNA(MATCH(R29,'_枚举'!$C$2:$C$3,0))),"枚举错误",IF(OR(NOT(ISNUMBER(L29)),L29&lt;0,NOT(ISNUMBER(M29)),M29&lt;0,NOT(ISNUMBER(Q29)),Q29&lt;0,AND(G29&lt;&gt;"",OR(NOT(ISNUMBER(G29)),G29&lt;=0)),AND(H29&lt;&gt;"",OR(NOT(ISNUMBER(H29)),H29&lt;=0)),AND(I29&lt;&gt;"",OR(NOT(ISNUMBER(I29)),I29&lt;=0)),AND(J29&lt;&gt;"",OR(NOT(ISNUMBER(J29)),J29&lt;=0))),"格式错误","可导入")))))</f>
        <v/>
      </c>
      <c r="B29" s="90" t="str"/>
      <c r="C29" s="90" t="str"/>
      <c r="D29" s="90" t="str"/>
      <c r="E29" s="90" t="str"/>
      <c r="F29" s="90" t="str"/>
      <c r="G29" s="131" t="str"/>
      <c r="H29" s="131" t="str"/>
      <c r="I29" s="131" t="str"/>
      <c r="J29" s="131" t="str"/>
      <c r="K29" s="90" t="str"/>
      <c r="L29" s="132" t="str"/>
      <c r="M29" s="132" t="str"/>
      <c r="N29" s="90" t="str"/>
      <c r="O29" s="90" t="str"/>
      <c r="P29" s="90" t="str"/>
      <c r="Q29" s="132" t="str"/>
      <c r="R29" s="90" t="str"/>
    </row>
    <row r="30">
      <c r="A30" s="118">
        <f>IF(COUNTA(B30:R30)=0,"待填写",IF(OR(B30="",C30="",D30="",E30="",F30="",K30="",NOT(ISNUMBER(L30)),NOT(ISNUMBER(M30)),P30="",NOT(ISNUMBER(Q30)),R30=""),"请补全必填",IF(OR(COUNTIF($B$5:$B$54,B30)&gt;1,COUNTIF($C$5:$C$54,C30)&gt;1),"ID重复",IF(OR(ISNA(MATCH(D30,'_枚举'!$Q$2:$Q$7,0)),ISNA(MATCH(E30,'_枚举'!$R$2:$R$7,0)),ISNA(MATCH(F30,'_枚举'!$S$2:$S$6,0)),ISNA(MATCH(K30,'_枚举'!$G$2:$G$3,0)),ISNA(MATCH(R30,'_枚举'!$C$2:$C$3,0))),"枚举错误",IF(OR(NOT(ISNUMBER(L30)),L30&lt;0,NOT(ISNUMBER(M30)),M30&lt;0,NOT(ISNUMBER(Q30)),Q30&lt;0,AND(G30&lt;&gt;"",OR(NOT(ISNUMBER(G30)),G30&lt;=0)),AND(H30&lt;&gt;"",OR(NOT(ISNUMBER(H30)),H30&lt;=0)),AND(I30&lt;&gt;"",OR(NOT(ISNUMBER(I30)),I30&lt;=0)),AND(J30&lt;&gt;"",OR(NOT(ISNUMBER(J30)),J30&lt;=0))),"格式错误","可导入")))))</f>
        <v/>
      </c>
      <c r="B30" s="90" t="str"/>
      <c r="C30" s="90" t="str"/>
      <c r="D30" s="90" t="str"/>
      <c r="E30" s="90" t="str"/>
      <c r="F30" s="90" t="str"/>
      <c r="G30" s="131" t="str"/>
      <c r="H30" s="131" t="str"/>
      <c r="I30" s="131" t="str"/>
      <c r="J30" s="131" t="str"/>
      <c r="K30" s="90" t="str"/>
      <c r="L30" s="132" t="str"/>
      <c r="M30" s="132" t="str"/>
      <c r="N30" s="90" t="str"/>
      <c r="O30" s="90" t="str"/>
      <c r="P30" s="90" t="str"/>
      <c r="Q30" s="132" t="str"/>
      <c r="R30" s="90" t="str"/>
    </row>
    <row r="31">
      <c r="A31" s="118">
        <f>IF(COUNTA(B31:R31)=0,"待填写",IF(OR(B31="",C31="",D31="",E31="",F31="",K31="",NOT(ISNUMBER(L31)),NOT(ISNUMBER(M31)),P31="",NOT(ISNUMBER(Q31)),R31=""),"请补全必填",IF(OR(COUNTIF($B$5:$B$54,B31)&gt;1,COUNTIF($C$5:$C$54,C31)&gt;1),"ID重复",IF(OR(ISNA(MATCH(D31,'_枚举'!$Q$2:$Q$7,0)),ISNA(MATCH(E31,'_枚举'!$R$2:$R$7,0)),ISNA(MATCH(F31,'_枚举'!$S$2:$S$6,0)),ISNA(MATCH(K31,'_枚举'!$G$2:$G$3,0)),ISNA(MATCH(R31,'_枚举'!$C$2:$C$3,0))),"枚举错误",IF(OR(NOT(ISNUMBER(L31)),L31&lt;0,NOT(ISNUMBER(M31)),M31&lt;0,NOT(ISNUMBER(Q31)),Q31&lt;0,AND(G31&lt;&gt;"",OR(NOT(ISNUMBER(G31)),G31&lt;=0)),AND(H31&lt;&gt;"",OR(NOT(ISNUMBER(H31)),H31&lt;=0)),AND(I31&lt;&gt;"",OR(NOT(ISNUMBER(I31)),I31&lt;=0)),AND(J31&lt;&gt;"",OR(NOT(ISNUMBER(J31)),J31&lt;=0))),"格式错误","可导入")))))</f>
        <v/>
      </c>
      <c r="B31" s="90" t="str"/>
      <c r="C31" s="90" t="str"/>
      <c r="D31" s="90" t="str"/>
      <c r="E31" s="90" t="str"/>
      <c r="F31" s="90" t="str"/>
      <c r="G31" s="131" t="str"/>
      <c r="H31" s="131" t="str"/>
      <c r="I31" s="131" t="str"/>
      <c r="J31" s="131" t="str"/>
      <c r="K31" s="90" t="str"/>
      <c r="L31" s="132" t="str"/>
      <c r="M31" s="132" t="str"/>
      <c r="N31" s="90" t="str"/>
      <c r="O31" s="90" t="str"/>
      <c r="P31" s="90" t="str"/>
      <c r="Q31" s="132" t="str"/>
      <c r="R31" s="90" t="str"/>
    </row>
    <row r="32">
      <c r="A32" s="118">
        <f>IF(COUNTA(B32:R32)=0,"待填写",IF(OR(B32="",C32="",D32="",E32="",F32="",K32="",NOT(ISNUMBER(L32)),NOT(ISNUMBER(M32)),P32="",NOT(ISNUMBER(Q32)),R32=""),"请补全必填",IF(OR(COUNTIF($B$5:$B$54,B32)&gt;1,COUNTIF($C$5:$C$54,C32)&gt;1),"ID重复",IF(OR(ISNA(MATCH(D32,'_枚举'!$Q$2:$Q$7,0)),ISNA(MATCH(E32,'_枚举'!$R$2:$R$7,0)),ISNA(MATCH(F32,'_枚举'!$S$2:$S$6,0)),ISNA(MATCH(K32,'_枚举'!$G$2:$G$3,0)),ISNA(MATCH(R32,'_枚举'!$C$2:$C$3,0))),"枚举错误",IF(OR(NOT(ISNUMBER(L32)),L32&lt;0,NOT(ISNUMBER(M32)),M32&lt;0,NOT(ISNUMBER(Q32)),Q32&lt;0,AND(G32&lt;&gt;"",OR(NOT(ISNUMBER(G32)),G32&lt;=0)),AND(H32&lt;&gt;"",OR(NOT(ISNUMBER(H32)),H32&lt;=0)),AND(I32&lt;&gt;"",OR(NOT(ISNUMBER(I32)),I32&lt;=0)),AND(J32&lt;&gt;"",OR(NOT(ISNUMBER(J32)),J32&lt;=0))),"格式错误","可导入")))))</f>
        <v/>
      </c>
      <c r="B32" s="90" t="str"/>
      <c r="C32" s="90" t="str"/>
      <c r="D32" s="90" t="str"/>
      <c r="E32" s="90" t="str"/>
      <c r="F32" s="90" t="str"/>
      <c r="G32" s="131" t="str"/>
      <c r="H32" s="131" t="str"/>
      <c r="I32" s="131" t="str"/>
      <c r="J32" s="131" t="str"/>
      <c r="K32" s="90" t="str"/>
      <c r="L32" s="132" t="str"/>
      <c r="M32" s="132" t="str"/>
      <c r="N32" s="90" t="str"/>
      <c r="O32" s="90" t="str"/>
      <c r="P32" s="90" t="str"/>
      <c r="Q32" s="132" t="str"/>
      <c r="R32" s="90" t="str"/>
    </row>
    <row r="33">
      <c r="A33" s="118">
        <f>IF(COUNTA(B33:R33)=0,"待填写",IF(OR(B33="",C33="",D33="",E33="",F33="",K33="",NOT(ISNUMBER(L33)),NOT(ISNUMBER(M33)),P33="",NOT(ISNUMBER(Q33)),R33=""),"请补全必填",IF(OR(COUNTIF($B$5:$B$54,B33)&gt;1,COUNTIF($C$5:$C$54,C33)&gt;1),"ID重复",IF(OR(ISNA(MATCH(D33,'_枚举'!$Q$2:$Q$7,0)),ISNA(MATCH(E33,'_枚举'!$R$2:$R$7,0)),ISNA(MATCH(F33,'_枚举'!$S$2:$S$6,0)),ISNA(MATCH(K33,'_枚举'!$G$2:$G$3,0)),ISNA(MATCH(R33,'_枚举'!$C$2:$C$3,0))),"枚举错误",IF(OR(NOT(ISNUMBER(L33)),L33&lt;0,NOT(ISNUMBER(M33)),M33&lt;0,NOT(ISNUMBER(Q33)),Q33&lt;0,AND(G33&lt;&gt;"",OR(NOT(ISNUMBER(G33)),G33&lt;=0)),AND(H33&lt;&gt;"",OR(NOT(ISNUMBER(H33)),H33&lt;=0)),AND(I33&lt;&gt;"",OR(NOT(ISNUMBER(I33)),I33&lt;=0)),AND(J33&lt;&gt;"",OR(NOT(ISNUMBER(J33)),J33&lt;=0))),"格式错误","可导入")))))</f>
        <v/>
      </c>
      <c r="B33" s="90" t="str"/>
      <c r="C33" s="90" t="str"/>
      <c r="D33" s="90" t="str"/>
      <c r="E33" s="90" t="str"/>
      <c r="F33" s="90" t="str"/>
      <c r="G33" s="131" t="str"/>
      <c r="H33" s="131" t="str"/>
      <c r="I33" s="131" t="str"/>
      <c r="J33" s="131" t="str"/>
      <c r="K33" s="90" t="str"/>
      <c r="L33" s="132" t="str"/>
      <c r="M33" s="132" t="str"/>
      <c r="N33" s="90" t="str"/>
      <c r="O33" s="90" t="str"/>
      <c r="P33" s="90" t="str"/>
      <c r="Q33" s="132" t="str"/>
      <c r="R33" s="90" t="str"/>
    </row>
    <row r="34">
      <c r="A34" s="118">
        <f>IF(COUNTA(B34:R34)=0,"待填写",IF(OR(B34="",C34="",D34="",E34="",F34="",K34="",NOT(ISNUMBER(L34)),NOT(ISNUMBER(M34)),P34="",NOT(ISNUMBER(Q34)),R34=""),"请补全必填",IF(OR(COUNTIF($B$5:$B$54,B34)&gt;1,COUNTIF($C$5:$C$54,C34)&gt;1),"ID重复",IF(OR(ISNA(MATCH(D34,'_枚举'!$Q$2:$Q$7,0)),ISNA(MATCH(E34,'_枚举'!$R$2:$R$7,0)),ISNA(MATCH(F34,'_枚举'!$S$2:$S$6,0)),ISNA(MATCH(K34,'_枚举'!$G$2:$G$3,0)),ISNA(MATCH(R34,'_枚举'!$C$2:$C$3,0))),"枚举错误",IF(OR(NOT(ISNUMBER(L34)),L34&lt;0,NOT(ISNUMBER(M34)),M34&lt;0,NOT(ISNUMBER(Q34)),Q34&lt;0,AND(G34&lt;&gt;"",OR(NOT(ISNUMBER(G34)),G34&lt;=0)),AND(H34&lt;&gt;"",OR(NOT(ISNUMBER(H34)),H34&lt;=0)),AND(I34&lt;&gt;"",OR(NOT(ISNUMBER(I34)),I34&lt;=0)),AND(J34&lt;&gt;"",OR(NOT(ISNUMBER(J34)),J34&lt;=0))),"格式错误","可导入")))))</f>
        <v/>
      </c>
      <c r="B34" s="90" t="str"/>
      <c r="C34" s="90" t="str"/>
      <c r="D34" s="90" t="str"/>
      <c r="E34" s="90" t="str"/>
      <c r="F34" s="90" t="str"/>
      <c r="G34" s="131" t="str"/>
      <c r="H34" s="131" t="str"/>
      <c r="I34" s="131" t="str"/>
      <c r="J34" s="131" t="str"/>
      <c r="K34" s="90" t="str"/>
      <c r="L34" s="132" t="str"/>
      <c r="M34" s="132" t="str"/>
      <c r="N34" s="90" t="str"/>
      <c r="O34" s="90" t="str"/>
      <c r="P34" s="90" t="str"/>
      <c r="Q34" s="132" t="str"/>
      <c r="R34" s="90" t="str"/>
    </row>
    <row r="35">
      <c r="A35" s="118">
        <f>IF(COUNTA(B35:R35)=0,"待填写",IF(OR(B35="",C35="",D35="",E35="",F35="",K35="",NOT(ISNUMBER(L35)),NOT(ISNUMBER(M35)),P35="",NOT(ISNUMBER(Q35)),R35=""),"请补全必填",IF(OR(COUNTIF($B$5:$B$54,B35)&gt;1,COUNTIF($C$5:$C$54,C35)&gt;1),"ID重复",IF(OR(ISNA(MATCH(D35,'_枚举'!$Q$2:$Q$7,0)),ISNA(MATCH(E35,'_枚举'!$R$2:$R$7,0)),ISNA(MATCH(F35,'_枚举'!$S$2:$S$6,0)),ISNA(MATCH(K35,'_枚举'!$G$2:$G$3,0)),ISNA(MATCH(R35,'_枚举'!$C$2:$C$3,0))),"枚举错误",IF(OR(NOT(ISNUMBER(L35)),L35&lt;0,NOT(ISNUMBER(M35)),M35&lt;0,NOT(ISNUMBER(Q35)),Q35&lt;0,AND(G35&lt;&gt;"",OR(NOT(ISNUMBER(G35)),G35&lt;=0)),AND(H35&lt;&gt;"",OR(NOT(ISNUMBER(H35)),H35&lt;=0)),AND(I35&lt;&gt;"",OR(NOT(ISNUMBER(I35)),I35&lt;=0)),AND(J35&lt;&gt;"",OR(NOT(ISNUMBER(J35)),J35&lt;=0))),"格式错误","可导入")))))</f>
        <v/>
      </c>
      <c r="B35" s="90" t="str"/>
      <c r="C35" s="90" t="str"/>
      <c r="D35" s="90" t="str"/>
      <c r="E35" s="90" t="str"/>
      <c r="F35" s="90" t="str"/>
      <c r="G35" s="131" t="str"/>
      <c r="H35" s="131" t="str"/>
      <c r="I35" s="131" t="str"/>
      <c r="J35" s="131" t="str"/>
      <c r="K35" s="90" t="str"/>
      <c r="L35" s="132" t="str"/>
      <c r="M35" s="132" t="str"/>
      <c r="N35" s="90" t="str"/>
      <c r="O35" s="90" t="str"/>
      <c r="P35" s="90" t="str"/>
      <c r="Q35" s="132" t="str"/>
      <c r="R35" s="90" t="str"/>
    </row>
    <row r="36">
      <c r="A36" s="118">
        <f>IF(COUNTA(B36:R36)=0,"待填写",IF(OR(B36="",C36="",D36="",E36="",F36="",K36="",NOT(ISNUMBER(L36)),NOT(ISNUMBER(M36)),P36="",NOT(ISNUMBER(Q36)),R36=""),"请补全必填",IF(OR(COUNTIF($B$5:$B$54,B36)&gt;1,COUNTIF($C$5:$C$54,C36)&gt;1),"ID重复",IF(OR(ISNA(MATCH(D36,'_枚举'!$Q$2:$Q$7,0)),ISNA(MATCH(E36,'_枚举'!$R$2:$R$7,0)),ISNA(MATCH(F36,'_枚举'!$S$2:$S$6,0)),ISNA(MATCH(K36,'_枚举'!$G$2:$G$3,0)),ISNA(MATCH(R36,'_枚举'!$C$2:$C$3,0))),"枚举错误",IF(OR(NOT(ISNUMBER(L36)),L36&lt;0,NOT(ISNUMBER(M36)),M36&lt;0,NOT(ISNUMBER(Q36)),Q36&lt;0,AND(G36&lt;&gt;"",OR(NOT(ISNUMBER(G36)),G36&lt;=0)),AND(H36&lt;&gt;"",OR(NOT(ISNUMBER(H36)),H36&lt;=0)),AND(I36&lt;&gt;"",OR(NOT(ISNUMBER(I36)),I36&lt;=0)),AND(J36&lt;&gt;"",OR(NOT(ISNUMBER(J36)),J36&lt;=0))),"格式错误","可导入")))))</f>
        <v/>
      </c>
      <c r="B36" s="90" t="str"/>
      <c r="C36" s="90" t="str"/>
      <c r="D36" s="90" t="str"/>
      <c r="E36" s="90" t="str"/>
      <c r="F36" s="90" t="str"/>
      <c r="G36" s="131" t="str"/>
      <c r="H36" s="131" t="str"/>
      <c r="I36" s="131" t="str"/>
      <c r="J36" s="131" t="str"/>
      <c r="K36" s="90" t="str"/>
      <c r="L36" s="132" t="str"/>
      <c r="M36" s="132" t="str"/>
      <c r="N36" s="90" t="str"/>
      <c r="O36" s="90" t="str"/>
      <c r="P36" s="90" t="str"/>
      <c r="Q36" s="132" t="str"/>
      <c r="R36" s="90" t="str"/>
    </row>
    <row r="37">
      <c r="A37" s="118">
        <f>IF(COUNTA(B37:R37)=0,"待填写",IF(OR(B37="",C37="",D37="",E37="",F37="",K37="",NOT(ISNUMBER(L37)),NOT(ISNUMBER(M37)),P37="",NOT(ISNUMBER(Q37)),R37=""),"请补全必填",IF(OR(COUNTIF($B$5:$B$54,B37)&gt;1,COUNTIF($C$5:$C$54,C37)&gt;1),"ID重复",IF(OR(ISNA(MATCH(D37,'_枚举'!$Q$2:$Q$7,0)),ISNA(MATCH(E37,'_枚举'!$R$2:$R$7,0)),ISNA(MATCH(F37,'_枚举'!$S$2:$S$6,0)),ISNA(MATCH(K37,'_枚举'!$G$2:$G$3,0)),ISNA(MATCH(R37,'_枚举'!$C$2:$C$3,0))),"枚举错误",IF(OR(NOT(ISNUMBER(L37)),L37&lt;0,NOT(ISNUMBER(M37)),M37&lt;0,NOT(ISNUMBER(Q37)),Q37&lt;0,AND(G37&lt;&gt;"",OR(NOT(ISNUMBER(G37)),G37&lt;=0)),AND(H37&lt;&gt;"",OR(NOT(ISNUMBER(H37)),H37&lt;=0)),AND(I37&lt;&gt;"",OR(NOT(ISNUMBER(I37)),I37&lt;=0)),AND(J37&lt;&gt;"",OR(NOT(ISNUMBER(J37)),J37&lt;=0))),"格式错误","可导入")))))</f>
        <v/>
      </c>
      <c r="B37" s="90" t="str"/>
      <c r="C37" s="90" t="str"/>
      <c r="D37" s="90" t="str"/>
      <c r="E37" s="90" t="str"/>
      <c r="F37" s="90" t="str"/>
      <c r="G37" s="131" t="str"/>
      <c r="H37" s="131" t="str"/>
      <c r="I37" s="131" t="str"/>
      <c r="J37" s="131" t="str"/>
      <c r="K37" s="90" t="str"/>
      <c r="L37" s="132" t="str"/>
      <c r="M37" s="132" t="str"/>
      <c r="N37" s="90" t="str"/>
      <c r="O37" s="90" t="str"/>
      <c r="P37" s="90" t="str"/>
      <c r="Q37" s="132" t="str"/>
      <c r="R37" s="90" t="str"/>
    </row>
    <row r="38">
      <c r="A38" s="118">
        <f>IF(COUNTA(B38:R38)=0,"待填写",IF(OR(B38="",C38="",D38="",E38="",F38="",K38="",NOT(ISNUMBER(L38)),NOT(ISNUMBER(M38)),P38="",NOT(ISNUMBER(Q38)),R38=""),"请补全必填",IF(OR(COUNTIF($B$5:$B$54,B38)&gt;1,COUNTIF($C$5:$C$54,C38)&gt;1),"ID重复",IF(OR(ISNA(MATCH(D38,'_枚举'!$Q$2:$Q$7,0)),ISNA(MATCH(E38,'_枚举'!$R$2:$R$7,0)),ISNA(MATCH(F38,'_枚举'!$S$2:$S$6,0)),ISNA(MATCH(K38,'_枚举'!$G$2:$G$3,0)),ISNA(MATCH(R38,'_枚举'!$C$2:$C$3,0))),"枚举错误",IF(OR(NOT(ISNUMBER(L38)),L38&lt;0,NOT(ISNUMBER(M38)),M38&lt;0,NOT(ISNUMBER(Q38)),Q38&lt;0,AND(G38&lt;&gt;"",OR(NOT(ISNUMBER(G38)),G38&lt;=0)),AND(H38&lt;&gt;"",OR(NOT(ISNUMBER(H38)),H38&lt;=0)),AND(I38&lt;&gt;"",OR(NOT(ISNUMBER(I38)),I38&lt;=0)),AND(J38&lt;&gt;"",OR(NOT(ISNUMBER(J38)),J38&lt;=0))),"格式错误","可导入")))))</f>
        <v/>
      </c>
      <c r="B38" s="90" t="str"/>
      <c r="C38" s="90" t="str"/>
      <c r="D38" s="90" t="str"/>
      <c r="E38" s="90" t="str"/>
      <c r="F38" s="90" t="str"/>
      <c r="G38" s="131" t="str"/>
      <c r="H38" s="131" t="str"/>
      <c r="I38" s="131" t="str"/>
      <c r="J38" s="131" t="str"/>
      <c r="K38" s="90" t="str"/>
      <c r="L38" s="132" t="str"/>
      <c r="M38" s="132" t="str"/>
      <c r="N38" s="90" t="str"/>
      <c r="O38" s="90" t="str"/>
      <c r="P38" s="90" t="str"/>
      <c r="Q38" s="132" t="str"/>
      <c r="R38" s="90" t="str"/>
    </row>
    <row r="39">
      <c r="A39" s="118">
        <f>IF(COUNTA(B39:R39)=0,"待填写",IF(OR(B39="",C39="",D39="",E39="",F39="",K39="",NOT(ISNUMBER(L39)),NOT(ISNUMBER(M39)),P39="",NOT(ISNUMBER(Q39)),R39=""),"请补全必填",IF(OR(COUNTIF($B$5:$B$54,B39)&gt;1,COUNTIF($C$5:$C$54,C39)&gt;1),"ID重复",IF(OR(ISNA(MATCH(D39,'_枚举'!$Q$2:$Q$7,0)),ISNA(MATCH(E39,'_枚举'!$R$2:$R$7,0)),ISNA(MATCH(F39,'_枚举'!$S$2:$S$6,0)),ISNA(MATCH(K39,'_枚举'!$G$2:$G$3,0)),ISNA(MATCH(R39,'_枚举'!$C$2:$C$3,0))),"枚举错误",IF(OR(NOT(ISNUMBER(L39)),L39&lt;0,NOT(ISNUMBER(M39)),M39&lt;0,NOT(ISNUMBER(Q39)),Q39&lt;0,AND(G39&lt;&gt;"",OR(NOT(ISNUMBER(G39)),G39&lt;=0)),AND(H39&lt;&gt;"",OR(NOT(ISNUMBER(H39)),H39&lt;=0)),AND(I39&lt;&gt;"",OR(NOT(ISNUMBER(I39)),I39&lt;=0)),AND(J39&lt;&gt;"",OR(NOT(ISNUMBER(J39)),J39&lt;=0))),"格式错误","可导入")))))</f>
        <v/>
      </c>
      <c r="B39" s="90" t="str"/>
      <c r="C39" s="90" t="str"/>
      <c r="D39" s="90" t="str"/>
      <c r="E39" s="90" t="str"/>
      <c r="F39" s="90" t="str"/>
      <c r="G39" s="131" t="str"/>
      <c r="H39" s="131" t="str"/>
      <c r="I39" s="131" t="str"/>
      <c r="J39" s="131" t="str"/>
      <c r="K39" s="90" t="str"/>
      <c r="L39" s="132" t="str"/>
      <c r="M39" s="132" t="str"/>
      <c r="N39" s="90" t="str"/>
      <c r="O39" s="90" t="str"/>
      <c r="P39" s="90" t="str"/>
      <c r="Q39" s="132" t="str"/>
      <c r="R39" s="90" t="str"/>
    </row>
    <row r="40">
      <c r="A40" s="118">
        <f>IF(COUNTA(B40:R40)=0,"待填写",IF(OR(B40="",C40="",D40="",E40="",F40="",K40="",NOT(ISNUMBER(L40)),NOT(ISNUMBER(M40)),P40="",NOT(ISNUMBER(Q40)),R40=""),"请补全必填",IF(OR(COUNTIF($B$5:$B$54,B40)&gt;1,COUNTIF($C$5:$C$54,C40)&gt;1),"ID重复",IF(OR(ISNA(MATCH(D40,'_枚举'!$Q$2:$Q$7,0)),ISNA(MATCH(E40,'_枚举'!$R$2:$R$7,0)),ISNA(MATCH(F40,'_枚举'!$S$2:$S$6,0)),ISNA(MATCH(K40,'_枚举'!$G$2:$G$3,0)),ISNA(MATCH(R40,'_枚举'!$C$2:$C$3,0))),"枚举错误",IF(OR(NOT(ISNUMBER(L40)),L40&lt;0,NOT(ISNUMBER(M40)),M40&lt;0,NOT(ISNUMBER(Q40)),Q40&lt;0,AND(G40&lt;&gt;"",OR(NOT(ISNUMBER(G40)),G40&lt;=0)),AND(H40&lt;&gt;"",OR(NOT(ISNUMBER(H40)),H40&lt;=0)),AND(I40&lt;&gt;"",OR(NOT(ISNUMBER(I40)),I40&lt;=0)),AND(J40&lt;&gt;"",OR(NOT(ISNUMBER(J40)),J40&lt;=0))),"格式错误","可导入")))))</f>
        <v/>
      </c>
      <c r="B40" s="90" t="str"/>
      <c r="C40" s="90" t="str"/>
      <c r="D40" s="90" t="str"/>
      <c r="E40" s="90" t="str"/>
      <c r="F40" s="90" t="str"/>
      <c r="G40" s="131" t="str"/>
      <c r="H40" s="131" t="str"/>
      <c r="I40" s="131" t="str"/>
      <c r="J40" s="131" t="str"/>
      <c r="K40" s="90" t="str"/>
      <c r="L40" s="132" t="str"/>
      <c r="M40" s="132" t="str"/>
      <c r="N40" s="90" t="str"/>
      <c r="O40" s="90" t="str"/>
      <c r="P40" s="90" t="str"/>
      <c r="Q40" s="132" t="str"/>
      <c r="R40" s="90" t="str"/>
    </row>
    <row r="41">
      <c r="A41" s="118">
        <f>IF(COUNTA(B41:R41)=0,"待填写",IF(OR(B41="",C41="",D41="",E41="",F41="",K41="",NOT(ISNUMBER(L41)),NOT(ISNUMBER(M41)),P41="",NOT(ISNUMBER(Q41)),R41=""),"请补全必填",IF(OR(COUNTIF($B$5:$B$54,B41)&gt;1,COUNTIF($C$5:$C$54,C41)&gt;1),"ID重复",IF(OR(ISNA(MATCH(D41,'_枚举'!$Q$2:$Q$7,0)),ISNA(MATCH(E41,'_枚举'!$R$2:$R$7,0)),ISNA(MATCH(F41,'_枚举'!$S$2:$S$6,0)),ISNA(MATCH(K41,'_枚举'!$G$2:$G$3,0)),ISNA(MATCH(R41,'_枚举'!$C$2:$C$3,0))),"枚举错误",IF(OR(NOT(ISNUMBER(L41)),L41&lt;0,NOT(ISNUMBER(M41)),M41&lt;0,NOT(ISNUMBER(Q41)),Q41&lt;0,AND(G41&lt;&gt;"",OR(NOT(ISNUMBER(G41)),G41&lt;=0)),AND(H41&lt;&gt;"",OR(NOT(ISNUMBER(H41)),H41&lt;=0)),AND(I41&lt;&gt;"",OR(NOT(ISNUMBER(I41)),I41&lt;=0)),AND(J41&lt;&gt;"",OR(NOT(ISNUMBER(J41)),J41&lt;=0))),"格式错误","可导入")))))</f>
        <v/>
      </c>
      <c r="B41" s="90" t="str"/>
      <c r="C41" s="90" t="str"/>
      <c r="D41" s="90" t="str"/>
      <c r="E41" s="90" t="str"/>
      <c r="F41" s="90" t="str"/>
      <c r="G41" s="131" t="str"/>
      <c r="H41" s="131" t="str"/>
      <c r="I41" s="131" t="str"/>
      <c r="J41" s="131" t="str"/>
      <c r="K41" s="90" t="str"/>
      <c r="L41" s="132" t="str"/>
      <c r="M41" s="132" t="str"/>
      <c r="N41" s="90" t="str"/>
      <c r="O41" s="90" t="str"/>
      <c r="P41" s="90" t="str"/>
      <c r="Q41" s="132" t="str"/>
      <c r="R41" s="90" t="str"/>
    </row>
    <row r="42">
      <c r="A42" s="118">
        <f>IF(COUNTA(B42:R42)=0,"待填写",IF(OR(B42="",C42="",D42="",E42="",F42="",K42="",NOT(ISNUMBER(L42)),NOT(ISNUMBER(M42)),P42="",NOT(ISNUMBER(Q42)),R42=""),"请补全必填",IF(OR(COUNTIF($B$5:$B$54,B42)&gt;1,COUNTIF($C$5:$C$54,C42)&gt;1),"ID重复",IF(OR(ISNA(MATCH(D42,'_枚举'!$Q$2:$Q$7,0)),ISNA(MATCH(E42,'_枚举'!$R$2:$R$7,0)),ISNA(MATCH(F42,'_枚举'!$S$2:$S$6,0)),ISNA(MATCH(K42,'_枚举'!$G$2:$G$3,0)),ISNA(MATCH(R42,'_枚举'!$C$2:$C$3,0))),"枚举错误",IF(OR(NOT(ISNUMBER(L42)),L42&lt;0,NOT(ISNUMBER(M42)),M42&lt;0,NOT(ISNUMBER(Q42)),Q42&lt;0,AND(G42&lt;&gt;"",OR(NOT(ISNUMBER(G42)),G42&lt;=0)),AND(H42&lt;&gt;"",OR(NOT(ISNUMBER(H42)),H42&lt;=0)),AND(I42&lt;&gt;"",OR(NOT(ISNUMBER(I42)),I42&lt;=0)),AND(J42&lt;&gt;"",OR(NOT(ISNUMBER(J42)),J42&lt;=0))),"格式错误","可导入")))))</f>
        <v/>
      </c>
      <c r="B42" s="90" t="str"/>
      <c r="C42" s="90" t="str"/>
      <c r="D42" s="90" t="str"/>
      <c r="E42" s="90" t="str"/>
      <c r="F42" s="90" t="str"/>
      <c r="G42" s="131" t="str"/>
      <c r="H42" s="131" t="str"/>
      <c r="I42" s="131" t="str"/>
      <c r="J42" s="131" t="str"/>
      <c r="K42" s="90" t="str"/>
      <c r="L42" s="132" t="str"/>
      <c r="M42" s="132" t="str"/>
      <c r="N42" s="90" t="str"/>
      <c r="O42" s="90" t="str"/>
      <c r="P42" s="90" t="str"/>
      <c r="Q42" s="132" t="str"/>
      <c r="R42" s="90" t="str"/>
    </row>
    <row r="43">
      <c r="A43" s="118">
        <f>IF(COUNTA(B43:R43)=0,"待填写",IF(OR(B43="",C43="",D43="",E43="",F43="",K43="",NOT(ISNUMBER(L43)),NOT(ISNUMBER(M43)),P43="",NOT(ISNUMBER(Q43)),R43=""),"请补全必填",IF(OR(COUNTIF($B$5:$B$54,B43)&gt;1,COUNTIF($C$5:$C$54,C43)&gt;1),"ID重复",IF(OR(ISNA(MATCH(D43,'_枚举'!$Q$2:$Q$7,0)),ISNA(MATCH(E43,'_枚举'!$R$2:$R$7,0)),ISNA(MATCH(F43,'_枚举'!$S$2:$S$6,0)),ISNA(MATCH(K43,'_枚举'!$G$2:$G$3,0)),ISNA(MATCH(R43,'_枚举'!$C$2:$C$3,0))),"枚举错误",IF(OR(NOT(ISNUMBER(L43)),L43&lt;0,NOT(ISNUMBER(M43)),M43&lt;0,NOT(ISNUMBER(Q43)),Q43&lt;0,AND(G43&lt;&gt;"",OR(NOT(ISNUMBER(G43)),G43&lt;=0)),AND(H43&lt;&gt;"",OR(NOT(ISNUMBER(H43)),H43&lt;=0)),AND(I43&lt;&gt;"",OR(NOT(ISNUMBER(I43)),I43&lt;=0)),AND(J43&lt;&gt;"",OR(NOT(ISNUMBER(J43)),J43&lt;=0))),"格式错误","可导入")))))</f>
        <v/>
      </c>
      <c r="B43" s="90" t="str"/>
      <c r="C43" s="90" t="str"/>
      <c r="D43" s="90" t="str"/>
      <c r="E43" s="90" t="str"/>
      <c r="F43" s="90" t="str"/>
      <c r="G43" s="131" t="str"/>
      <c r="H43" s="131" t="str"/>
      <c r="I43" s="131" t="str"/>
      <c r="J43" s="131" t="str"/>
      <c r="K43" s="90" t="str"/>
      <c r="L43" s="132" t="str"/>
      <c r="M43" s="132" t="str"/>
      <c r="N43" s="90" t="str"/>
      <c r="O43" s="90" t="str"/>
      <c r="P43" s="90" t="str"/>
      <c r="Q43" s="132" t="str"/>
      <c r="R43" s="90" t="str"/>
    </row>
    <row r="44">
      <c r="A44" s="118">
        <f>IF(COUNTA(B44:R44)=0,"待填写",IF(OR(B44="",C44="",D44="",E44="",F44="",K44="",NOT(ISNUMBER(L44)),NOT(ISNUMBER(M44)),P44="",NOT(ISNUMBER(Q44)),R44=""),"请补全必填",IF(OR(COUNTIF($B$5:$B$54,B44)&gt;1,COUNTIF($C$5:$C$54,C44)&gt;1),"ID重复",IF(OR(ISNA(MATCH(D44,'_枚举'!$Q$2:$Q$7,0)),ISNA(MATCH(E44,'_枚举'!$R$2:$R$7,0)),ISNA(MATCH(F44,'_枚举'!$S$2:$S$6,0)),ISNA(MATCH(K44,'_枚举'!$G$2:$G$3,0)),ISNA(MATCH(R44,'_枚举'!$C$2:$C$3,0))),"枚举错误",IF(OR(NOT(ISNUMBER(L44)),L44&lt;0,NOT(ISNUMBER(M44)),M44&lt;0,NOT(ISNUMBER(Q44)),Q44&lt;0,AND(G44&lt;&gt;"",OR(NOT(ISNUMBER(G44)),G44&lt;=0)),AND(H44&lt;&gt;"",OR(NOT(ISNUMBER(H44)),H44&lt;=0)),AND(I44&lt;&gt;"",OR(NOT(ISNUMBER(I44)),I44&lt;=0)),AND(J44&lt;&gt;"",OR(NOT(ISNUMBER(J44)),J44&lt;=0))),"格式错误","可导入")))))</f>
        <v/>
      </c>
      <c r="B44" s="90" t="str"/>
      <c r="C44" s="90" t="str"/>
      <c r="D44" s="90" t="str"/>
      <c r="E44" s="90" t="str"/>
      <c r="F44" s="90" t="str"/>
      <c r="G44" s="131" t="str"/>
      <c r="H44" s="131" t="str"/>
      <c r="I44" s="131" t="str"/>
      <c r="J44" s="131" t="str"/>
      <c r="K44" s="90" t="str"/>
      <c r="L44" s="132" t="str"/>
      <c r="M44" s="132" t="str"/>
      <c r="N44" s="90" t="str"/>
      <c r="O44" s="90" t="str"/>
      <c r="P44" s="90" t="str"/>
      <c r="Q44" s="132" t="str"/>
      <c r="R44" s="90" t="str"/>
    </row>
    <row r="45">
      <c r="A45" s="118">
        <f>IF(COUNTA(B45:R45)=0,"待填写",IF(OR(B45="",C45="",D45="",E45="",F45="",K45="",NOT(ISNUMBER(L45)),NOT(ISNUMBER(M45)),P45="",NOT(ISNUMBER(Q45)),R45=""),"请补全必填",IF(OR(COUNTIF($B$5:$B$54,B45)&gt;1,COUNTIF($C$5:$C$54,C45)&gt;1),"ID重复",IF(OR(ISNA(MATCH(D45,'_枚举'!$Q$2:$Q$7,0)),ISNA(MATCH(E45,'_枚举'!$R$2:$R$7,0)),ISNA(MATCH(F45,'_枚举'!$S$2:$S$6,0)),ISNA(MATCH(K45,'_枚举'!$G$2:$G$3,0)),ISNA(MATCH(R45,'_枚举'!$C$2:$C$3,0))),"枚举错误",IF(OR(NOT(ISNUMBER(L45)),L45&lt;0,NOT(ISNUMBER(M45)),M45&lt;0,NOT(ISNUMBER(Q45)),Q45&lt;0,AND(G45&lt;&gt;"",OR(NOT(ISNUMBER(G45)),G45&lt;=0)),AND(H45&lt;&gt;"",OR(NOT(ISNUMBER(H45)),H45&lt;=0)),AND(I45&lt;&gt;"",OR(NOT(ISNUMBER(I45)),I45&lt;=0)),AND(J45&lt;&gt;"",OR(NOT(ISNUMBER(J45)),J45&lt;=0))),"格式错误","可导入")))))</f>
        <v/>
      </c>
      <c r="B45" s="90" t="str"/>
      <c r="C45" s="90" t="str"/>
      <c r="D45" s="90" t="str"/>
      <c r="E45" s="90" t="str"/>
      <c r="F45" s="90" t="str"/>
      <c r="G45" s="131" t="str"/>
      <c r="H45" s="131" t="str"/>
      <c r="I45" s="131" t="str"/>
      <c r="J45" s="131" t="str"/>
      <c r="K45" s="90" t="str"/>
      <c r="L45" s="132" t="str"/>
      <c r="M45" s="132" t="str"/>
      <c r="N45" s="90" t="str"/>
      <c r="O45" s="90" t="str"/>
      <c r="P45" s="90" t="str"/>
      <c r="Q45" s="132" t="str"/>
      <c r="R45" s="90" t="str"/>
    </row>
    <row r="46">
      <c r="A46" s="118">
        <f>IF(COUNTA(B46:R46)=0,"待填写",IF(OR(B46="",C46="",D46="",E46="",F46="",K46="",NOT(ISNUMBER(L46)),NOT(ISNUMBER(M46)),P46="",NOT(ISNUMBER(Q46)),R46=""),"请补全必填",IF(OR(COUNTIF($B$5:$B$54,B46)&gt;1,COUNTIF($C$5:$C$54,C46)&gt;1),"ID重复",IF(OR(ISNA(MATCH(D46,'_枚举'!$Q$2:$Q$7,0)),ISNA(MATCH(E46,'_枚举'!$R$2:$R$7,0)),ISNA(MATCH(F46,'_枚举'!$S$2:$S$6,0)),ISNA(MATCH(K46,'_枚举'!$G$2:$G$3,0)),ISNA(MATCH(R46,'_枚举'!$C$2:$C$3,0))),"枚举错误",IF(OR(NOT(ISNUMBER(L46)),L46&lt;0,NOT(ISNUMBER(M46)),M46&lt;0,NOT(ISNUMBER(Q46)),Q46&lt;0,AND(G46&lt;&gt;"",OR(NOT(ISNUMBER(G46)),G46&lt;=0)),AND(H46&lt;&gt;"",OR(NOT(ISNUMBER(H46)),H46&lt;=0)),AND(I46&lt;&gt;"",OR(NOT(ISNUMBER(I46)),I46&lt;=0)),AND(J46&lt;&gt;"",OR(NOT(ISNUMBER(J46)),J46&lt;=0))),"格式错误","可导入")))))</f>
        <v/>
      </c>
      <c r="B46" s="90" t="str"/>
      <c r="C46" s="90" t="str"/>
      <c r="D46" s="90" t="str"/>
      <c r="E46" s="90" t="str"/>
      <c r="F46" s="90" t="str"/>
      <c r="G46" s="131" t="str"/>
      <c r="H46" s="131" t="str"/>
      <c r="I46" s="131" t="str"/>
      <c r="J46" s="131" t="str"/>
      <c r="K46" s="90" t="str"/>
      <c r="L46" s="132" t="str"/>
      <c r="M46" s="132" t="str"/>
      <c r="N46" s="90" t="str"/>
      <c r="O46" s="90" t="str"/>
      <c r="P46" s="90" t="str"/>
      <c r="Q46" s="132" t="str"/>
      <c r="R46" s="90" t="str"/>
    </row>
    <row r="47">
      <c r="A47" s="118">
        <f>IF(COUNTA(B47:R47)=0,"待填写",IF(OR(B47="",C47="",D47="",E47="",F47="",K47="",NOT(ISNUMBER(L47)),NOT(ISNUMBER(M47)),P47="",NOT(ISNUMBER(Q47)),R47=""),"请补全必填",IF(OR(COUNTIF($B$5:$B$54,B47)&gt;1,COUNTIF($C$5:$C$54,C47)&gt;1),"ID重复",IF(OR(ISNA(MATCH(D47,'_枚举'!$Q$2:$Q$7,0)),ISNA(MATCH(E47,'_枚举'!$R$2:$R$7,0)),ISNA(MATCH(F47,'_枚举'!$S$2:$S$6,0)),ISNA(MATCH(K47,'_枚举'!$G$2:$G$3,0)),ISNA(MATCH(R47,'_枚举'!$C$2:$C$3,0))),"枚举错误",IF(OR(NOT(ISNUMBER(L47)),L47&lt;0,NOT(ISNUMBER(M47)),M47&lt;0,NOT(ISNUMBER(Q47)),Q47&lt;0,AND(G47&lt;&gt;"",OR(NOT(ISNUMBER(G47)),G47&lt;=0)),AND(H47&lt;&gt;"",OR(NOT(ISNUMBER(H47)),H47&lt;=0)),AND(I47&lt;&gt;"",OR(NOT(ISNUMBER(I47)),I47&lt;=0)),AND(J47&lt;&gt;"",OR(NOT(ISNUMBER(J47)),J47&lt;=0))),"格式错误","可导入")))))</f>
        <v/>
      </c>
      <c r="B47" s="90" t="str"/>
      <c r="C47" s="90" t="str"/>
      <c r="D47" s="90" t="str"/>
      <c r="E47" s="90" t="str"/>
      <c r="F47" s="90" t="str"/>
      <c r="G47" s="131" t="str"/>
      <c r="H47" s="131" t="str"/>
      <c r="I47" s="131" t="str"/>
      <c r="J47" s="131" t="str"/>
      <c r="K47" s="90" t="str"/>
      <c r="L47" s="132" t="str"/>
      <c r="M47" s="132" t="str"/>
      <c r="N47" s="90" t="str"/>
      <c r="O47" s="90" t="str"/>
      <c r="P47" s="90" t="str"/>
      <c r="Q47" s="132" t="str"/>
      <c r="R47" s="90" t="str"/>
    </row>
    <row r="48">
      <c r="A48" s="118">
        <f>IF(COUNTA(B48:R48)=0,"待填写",IF(OR(B48="",C48="",D48="",E48="",F48="",K48="",NOT(ISNUMBER(L48)),NOT(ISNUMBER(M48)),P48="",NOT(ISNUMBER(Q48)),R48=""),"请补全必填",IF(OR(COUNTIF($B$5:$B$54,B48)&gt;1,COUNTIF($C$5:$C$54,C48)&gt;1),"ID重复",IF(OR(ISNA(MATCH(D48,'_枚举'!$Q$2:$Q$7,0)),ISNA(MATCH(E48,'_枚举'!$R$2:$R$7,0)),ISNA(MATCH(F48,'_枚举'!$S$2:$S$6,0)),ISNA(MATCH(K48,'_枚举'!$G$2:$G$3,0)),ISNA(MATCH(R48,'_枚举'!$C$2:$C$3,0))),"枚举错误",IF(OR(NOT(ISNUMBER(L48)),L48&lt;0,NOT(ISNUMBER(M48)),M48&lt;0,NOT(ISNUMBER(Q48)),Q48&lt;0,AND(G48&lt;&gt;"",OR(NOT(ISNUMBER(G48)),G48&lt;=0)),AND(H48&lt;&gt;"",OR(NOT(ISNUMBER(H48)),H48&lt;=0)),AND(I48&lt;&gt;"",OR(NOT(ISNUMBER(I48)),I48&lt;=0)),AND(J48&lt;&gt;"",OR(NOT(ISNUMBER(J48)),J48&lt;=0))),"格式错误","可导入")))))</f>
        <v/>
      </c>
      <c r="B48" s="90" t="str"/>
      <c r="C48" s="90" t="str"/>
      <c r="D48" s="90" t="str"/>
      <c r="E48" s="90" t="str"/>
      <c r="F48" s="90" t="str"/>
      <c r="G48" s="131" t="str"/>
      <c r="H48" s="131" t="str"/>
      <c r="I48" s="131" t="str"/>
      <c r="J48" s="131" t="str"/>
      <c r="K48" s="90" t="str"/>
      <c r="L48" s="132" t="str"/>
      <c r="M48" s="132" t="str"/>
      <c r="N48" s="90" t="str"/>
      <c r="O48" s="90" t="str"/>
      <c r="P48" s="90" t="str"/>
      <c r="Q48" s="132" t="str"/>
      <c r="R48" s="90" t="str"/>
    </row>
    <row r="49">
      <c r="A49" s="118">
        <f>IF(COUNTA(B49:R49)=0,"待填写",IF(OR(B49="",C49="",D49="",E49="",F49="",K49="",NOT(ISNUMBER(L49)),NOT(ISNUMBER(M49)),P49="",NOT(ISNUMBER(Q49)),R49=""),"请补全必填",IF(OR(COUNTIF($B$5:$B$54,B49)&gt;1,COUNTIF($C$5:$C$54,C49)&gt;1),"ID重复",IF(OR(ISNA(MATCH(D49,'_枚举'!$Q$2:$Q$7,0)),ISNA(MATCH(E49,'_枚举'!$R$2:$R$7,0)),ISNA(MATCH(F49,'_枚举'!$S$2:$S$6,0)),ISNA(MATCH(K49,'_枚举'!$G$2:$G$3,0)),ISNA(MATCH(R49,'_枚举'!$C$2:$C$3,0))),"枚举错误",IF(OR(NOT(ISNUMBER(L49)),L49&lt;0,NOT(ISNUMBER(M49)),M49&lt;0,NOT(ISNUMBER(Q49)),Q49&lt;0,AND(G49&lt;&gt;"",OR(NOT(ISNUMBER(G49)),G49&lt;=0)),AND(H49&lt;&gt;"",OR(NOT(ISNUMBER(H49)),H49&lt;=0)),AND(I49&lt;&gt;"",OR(NOT(ISNUMBER(I49)),I49&lt;=0)),AND(J49&lt;&gt;"",OR(NOT(ISNUMBER(J49)),J49&lt;=0))),"格式错误","可导入")))))</f>
        <v/>
      </c>
      <c r="B49" s="90" t="str"/>
      <c r="C49" s="90" t="str"/>
      <c r="D49" s="90" t="str"/>
      <c r="E49" s="90" t="str"/>
      <c r="F49" s="90" t="str"/>
      <c r="G49" s="131" t="str"/>
      <c r="H49" s="131" t="str"/>
      <c r="I49" s="131" t="str"/>
      <c r="J49" s="131" t="str"/>
      <c r="K49" s="90" t="str"/>
      <c r="L49" s="132" t="str"/>
      <c r="M49" s="132" t="str"/>
      <c r="N49" s="90" t="str"/>
      <c r="O49" s="90" t="str"/>
      <c r="P49" s="90" t="str"/>
      <c r="Q49" s="132" t="str"/>
      <c r="R49" s="90" t="str"/>
    </row>
    <row r="50">
      <c r="A50" s="118">
        <f>IF(COUNTA(B50:R50)=0,"待填写",IF(OR(B50="",C50="",D50="",E50="",F50="",K50="",NOT(ISNUMBER(L50)),NOT(ISNUMBER(M50)),P50="",NOT(ISNUMBER(Q50)),R50=""),"请补全必填",IF(OR(COUNTIF($B$5:$B$54,B50)&gt;1,COUNTIF($C$5:$C$54,C50)&gt;1),"ID重复",IF(OR(ISNA(MATCH(D50,'_枚举'!$Q$2:$Q$7,0)),ISNA(MATCH(E50,'_枚举'!$R$2:$R$7,0)),ISNA(MATCH(F50,'_枚举'!$S$2:$S$6,0)),ISNA(MATCH(K50,'_枚举'!$G$2:$G$3,0)),ISNA(MATCH(R50,'_枚举'!$C$2:$C$3,0))),"枚举错误",IF(OR(NOT(ISNUMBER(L50)),L50&lt;0,NOT(ISNUMBER(M50)),M50&lt;0,NOT(ISNUMBER(Q50)),Q50&lt;0,AND(G50&lt;&gt;"",OR(NOT(ISNUMBER(G50)),G50&lt;=0)),AND(H50&lt;&gt;"",OR(NOT(ISNUMBER(H50)),H50&lt;=0)),AND(I50&lt;&gt;"",OR(NOT(ISNUMBER(I50)),I50&lt;=0)),AND(J50&lt;&gt;"",OR(NOT(ISNUMBER(J50)),J50&lt;=0))),"格式错误","可导入")))))</f>
        <v/>
      </c>
      <c r="B50" s="90" t="str"/>
      <c r="C50" s="90" t="str"/>
      <c r="D50" s="90" t="str"/>
      <c r="E50" s="90" t="str"/>
      <c r="F50" s="90" t="str"/>
      <c r="G50" s="131" t="str"/>
      <c r="H50" s="131" t="str"/>
      <c r="I50" s="131" t="str"/>
      <c r="J50" s="131" t="str"/>
      <c r="K50" s="90" t="str"/>
      <c r="L50" s="132" t="str"/>
      <c r="M50" s="132" t="str"/>
      <c r="N50" s="90" t="str"/>
      <c r="O50" s="90" t="str"/>
      <c r="P50" s="90" t="str"/>
      <c r="Q50" s="132" t="str"/>
      <c r="R50" s="90" t="str"/>
    </row>
    <row r="51">
      <c r="A51" s="118">
        <f>IF(COUNTA(B51:R51)=0,"待填写",IF(OR(B51="",C51="",D51="",E51="",F51="",K51="",NOT(ISNUMBER(L51)),NOT(ISNUMBER(M51)),P51="",NOT(ISNUMBER(Q51)),R51=""),"请补全必填",IF(OR(COUNTIF($B$5:$B$54,B51)&gt;1,COUNTIF($C$5:$C$54,C51)&gt;1),"ID重复",IF(OR(ISNA(MATCH(D51,'_枚举'!$Q$2:$Q$7,0)),ISNA(MATCH(E51,'_枚举'!$R$2:$R$7,0)),ISNA(MATCH(F51,'_枚举'!$S$2:$S$6,0)),ISNA(MATCH(K51,'_枚举'!$G$2:$G$3,0)),ISNA(MATCH(R51,'_枚举'!$C$2:$C$3,0))),"枚举错误",IF(OR(NOT(ISNUMBER(L51)),L51&lt;0,NOT(ISNUMBER(M51)),M51&lt;0,NOT(ISNUMBER(Q51)),Q51&lt;0,AND(G51&lt;&gt;"",OR(NOT(ISNUMBER(G51)),G51&lt;=0)),AND(H51&lt;&gt;"",OR(NOT(ISNUMBER(H51)),H51&lt;=0)),AND(I51&lt;&gt;"",OR(NOT(ISNUMBER(I51)),I51&lt;=0)),AND(J51&lt;&gt;"",OR(NOT(ISNUMBER(J51)),J51&lt;=0))),"格式错误","可导入")))))</f>
        <v/>
      </c>
      <c r="B51" s="90" t="str"/>
      <c r="C51" s="90" t="str"/>
      <c r="D51" s="90" t="str"/>
      <c r="E51" s="90" t="str"/>
      <c r="F51" s="90" t="str"/>
      <c r="G51" s="131" t="str"/>
      <c r="H51" s="131" t="str"/>
      <c r="I51" s="131" t="str"/>
      <c r="J51" s="131" t="str"/>
      <c r="K51" s="90" t="str"/>
      <c r="L51" s="132" t="str"/>
      <c r="M51" s="132" t="str"/>
      <c r="N51" s="90" t="str"/>
      <c r="O51" s="90" t="str"/>
      <c r="P51" s="90" t="str"/>
      <c r="Q51" s="132" t="str"/>
      <c r="R51" s="90" t="str"/>
    </row>
    <row r="52">
      <c r="A52" s="118">
        <f>IF(COUNTA(B52:R52)=0,"待填写",IF(OR(B52="",C52="",D52="",E52="",F52="",K52="",NOT(ISNUMBER(L52)),NOT(ISNUMBER(M52)),P52="",NOT(ISNUMBER(Q52)),R52=""),"请补全必填",IF(OR(COUNTIF($B$5:$B$54,B52)&gt;1,COUNTIF($C$5:$C$54,C52)&gt;1),"ID重复",IF(OR(ISNA(MATCH(D52,'_枚举'!$Q$2:$Q$7,0)),ISNA(MATCH(E52,'_枚举'!$R$2:$R$7,0)),ISNA(MATCH(F52,'_枚举'!$S$2:$S$6,0)),ISNA(MATCH(K52,'_枚举'!$G$2:$G$3,0)),ISNA(MATCH(R52,'_枚举'!$C$2:$C$3,0))),"枚举错误",IF(OR(NOT(ISNUMBER(L52)),L52&lt;0,NOT(ISNUMBER(M52)),M52&lt;0,NOT(ISNUMBER(Q52)),Q52&lt;0,AND(G52&lt;&gt;"",OR(NOT(ISNUMBER(G52)),G52&lt;=0)),AND(H52&lt;&gt;"",OR(NOT(ISNUMBER(H52)),H52&lt;=0)),AND(I52&lt;&gt;"",OR(NOT(ISNUMBER(I52)),I52&lt;=0)),AND(J52&lt;&gt;"",OR(NOT(ISNUMBER(J52)),J52&lt;=0))),"格式错误","可导入")))))</f>
        <v/>
      </c>
      <c r="B52" s="90" t="str"/>
      <c r="C52" s="90" t="str"/>
      <c r="D52" s="90" t="str"/>
      <c r="E52" s="90" t="str"/>
      <c r="F52" s="90" t="str"/>
      <c r="G52" s="131" t="str"/>
      <c r="H52" s="131" t="str"/>
      <c r="I52" s="131" t="str"/>
      <c r="J52" s="131" t="str"/>
      <c r="K52" s="90" t="str"/>
      <c r="L52" s="132" t="str"/>
      <c r="M52" s="132" t="str"/>
      <c r="N52" s="90" t="str"/>
      <c r="O52" s="90" t="str"/>
      <c r="P52" s="90" t="str"/>
      <c r="Q52" s="132" t="str"/>
      <c r="R52" s="90" t="str"/>
    </row>
    <row r="53">
      <c r="A53" s="118">
        <f>IF(COUNTA(B53:R53)=0,"待填写",IF(OR(B53="",C53="",D53="",E53="",F53="",K53="",NOT(ISNUMBER(L53)),NOT(ISNUMBER(M53)),P53="",NOT(ISNUMBER(Q53)),R53=""),"请补全必填",IF(OR(COUNTIF($B$5:$B$54,B53)&gt;1,COUNTIF($C$5:$C$54,C53)&gt;1),"ID重复",IF(OR(ISNA(MATCH(D53,'_枚举'!$Q$2:$Q$7,0)),ISNA(MATCH(E53,'_枚举'!$R$2:$R$7,0)),ISNA(MATCH(F53,'_枚举'!$S$2:$S$6,0)),ISNA(MATCH(K53,'_枚举'!$G$2:$G$3,0)),ISNA(MATCH(R53,'_枚举'!$C$2:$C$3,0))),"枚举错误",IF(OR(NOT(ISNUMBER(L53)),L53&lt;0,NOT(ISNUMBER(M53)),M53&lt;0,NOT(ISNUMBER(Q53)),Q53&lt;0,AND(G53&lt;&gt;"",OR(NOT(ISNUMBER(G53)),G53&lt;=0)),AND(H53&lt;&gt;"",OR(NOT(ISNUMBER(H53)),H53&lt;=0)),AND(I53&lt;&gt;"",OR(NOT(ISNUMBER(I53)),I53&lt;=0)),AND(J53&lt;&gt;"",OR(NOT(ISNUMBER(J53)),J53&lt;=0))),"格式错误","可导入")))))</f>
        <v/>
      </c>
      <c r="B53" s="90" t="str"/>
      <c r="C53" s="90" t="str"/>
      <c r="D53" s="90" t="str"/>
      <c r="E53" s="90" t="str"/>
      <c r="F53" s="90" t="str"/>
      <c r="G53" s="131" t="str"/>
      <c r="H53" s="131" t="str"/>
      <c r="I53" s="131" t="str"/>
      <c r="J53" s="131" t="str"/>
      <c r="K53" s="90" t="str"/>
      <c r="L53" s="132" t="str"/>
      <c r="M53" s="132" t="str"/>
      <c r="N53" s="90" t="str"/>
      <c r="O53" s="90" t="str"/>
      <c r="P53" s="90" t="str"/>
      <c r="Q53" s="132" t="str"/>
      <c r="R53" s="90" t="str"/>
    </row>
    <row r="54">
      <c r="A54" s="120">
        <f>IF(COUNTA(B54:R54)=0,"待填写",IF(OR(B54="",C54="",D54="",E54="",F54="",K54="",NOT(ISNUMBER(L54)),NOT(ISNUMBER(M54)),P54="",NOT(ISNUMBER(Q54)),R54=""),"请补全必填",IF(OR(COUNTIF($B$5:$B$54,B54)&gt;1,COUNTIF($C$5:$C$54,C54)&gt;1),"ID重复",IF(OR(ISNA(MATCH(D54,'_枚举'!$Q$2:$Q$7,0)),ISNA(MATCH(E54,'_枚举'!$R$2:$R$7,0)),ISNA(MATCH(F54,'_枚举'!$S$2:$S$6,0)),ISNA(MATCH(K54,'_枚举'!$G$2:$G$3,0)),ISNA(MATCH(R54,'_枚举'!$C$2:$C$3,0))),"枚举错误",IF(OR(NOT(ISNUMBER(L54)),L54&lt;0,NOT(ISNUMBER(M54)),M54&lt;0,NOT(ISNUMBER(Q54)),Q54&lt;0,AND(G54&lt;&gt;"",OR(NOT(ISNUMBER(G54)),G54&lt;=0)),AND(H54&lt;&gt;"",OR(NOT(ISNUMBER(H54)),H54&lt;=0)),AND(I54&lt;&gt;"",OR(NOT(ISNUMBER(I54)),I54&lt;=0)),AND(J54&lt;&gt;"",OR(NOT(ISNUMBER(J54)),J54&lt;=0))),"格式错误","可导入")))))</f>
        <v/>
      </c>
      <c r="B54" s="91" t="str"/>
      <c r="C54" s="91" t="str"/>
      <c r="D54" s="91" t="str"/>
      <c r="E54" s="91" t="str"/>
      <c r="F54" s="91" t="str"/>
      <c r="G54" s="133" t="str"/>
      <c r="H54" s="133" t="str"/>
      <c r="I54" s="133" t="str"/>
      <c r="J54" s="133" t="str"/>
      <c r="K54" s="91" t="str"/>
      <c r="L54" s="134" t="str"/>
      <c r="M54" s="134" t="str"/>
      <c r="N54" s="91" t="str"/>
      <c r="O54" s="91" t="str"/>
      <c r="P54" s="91" t="str"/>
      <c r="Q54" s="134" t="str"/>
      <c r="R54" s="91" t="str"/>
    </row>
  </sheetData>
  <mergeCells count="1">
    <mergeCell ref="A1:R2"/>
  </mergeCells>
  <conditionalFormatting sqref="A4:R54">
    <cfRule type="containsText" priority="1" operator="containsText" dxfId="0" text="可导入"/>
    <cfRule type="containsText" priority="2" operator="containsText" dxfId="1" text="请补全必填"/>
    <cfRule type="containsText" priority="3" operator="containsText" dxfId="2" text="待填写"/>
  </conditionalFormatting>
  <conditionalFormatting sqref="A5:A54">
    <cfRule type="cellIs" priority="4" operator="equal" dxfId="9">
      <formula>"可导入"</formula>
    </cfRule>
    <cfRule type="cellIs" priority="5" operator="equal" dxfId="10">
      <formula>"请补全必填"</formula>
    </cfRule>
    <cfRule type="cellIs" priority="6" operator="equal" dxfId="11">
      <formula>"ID重复"</formula>
    </cfRule>
    <cfRule type="cellIs" priority="7" operator="equal" dxfId="11">
      <formula>"关联不存在"</formula>
    </cfRule>
    <cfRule type="cellIs" priority="8" operator="equal" dxfId="12">
      <formula>"格式错误"</formula>
    </cfRule>
    <cfRule type="cellIs" priority="9" operator="equal" dxfId="12">
      <formula>"枚举错误"</formula>
    </cfRule>
    <cfRule type="cellIs" priority="10" operator="equal" dxfId="13">
      <formula>"待人工复核"</formula>
    </cfRule>
    <cfRule type="cellIs" priority="11" operator="equal" dxfId="10">
      <formula>"待填写"</formula>
    </cfRule>
  </conditionalFormatting>
  <dataValidations count="5">
    <dataValidation sqref="D5:D54" showDropDown="0" showInputMessage="0" showErrorMessage="0" allowBlank="0" type="list">
      <formula1>"SPACER,PENDANT,CHARM,CLASP,RING,OTHER"</formula1>
    </dataValidation>
    <dataValidation sqref="E5:E54" showDropDown="0" showInputMessage="0" showErrorMessage="0" allowBlank="0" type="list">
      <formula1>"STERLING_SILVER,GOLD_VERMEIL,BRASS,STEEL,STONE,OTHER"</formula1>
    </dataValidation>
    <dataValidation sqref="F5:F54" showDropDown="0" showInputMessage="0" showErrorMessage="0" allowBlank="0" type="list">
      <formula1>"POLISHED,MATTE,BRUSHED,OXIDIZED,OTHER"</formula1>
    </dataValidation>
    <dataValidation sqref="K5:K54" showDropDown="0" showInputMessage="0" showErrorMessage="0" allowBlank="0" type="list">
      <formula1>"CNY,TWD"</formula1>
    </dataValidation>
    <dataValidation sqref="R5:R54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B4F68"/>
    <outlinePr summaryBelow="1" summaryRight="1"/>
    <pageSetUpPr/>
  </sheetPr>
  <dimension ref="A1:U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8" customWidth="1" min="4" max="4"/>
    <col width="24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  <col width="14" customWidth="1" min="11" max="11"/>
    <col width="18" customWidth="1" min="12" max="12"/>
    <col width="12" customWidth="1" min="13" max="13"/>
    <col width="23" customWidth="1" min="14" max="14"/>
    <col width="23" customWidth="1" min="15" max="15"/>
    <col width="38" customWidth="1" min="16" max="16"/>
    <col width="18" customWidth="1" min="17" max="17"/>
    <col width="20" customWidth="1" min="18" max="18"/>
    <col width="20" customWidth="1" min="19" max="19"/>
    <col width="18" customWidth="1" min="20" max="20"/>
    <col width="28" customWidth="1" min="21" max="21"/>
  </cols>
  <sheetData>
    <row r="1" ht="28" customHeight="1">
      <c r="A1" s="122" t="inlineStr">
        <is>
          <t>库存批次｜同一 SKU 的每次进货分别记录</t>
        </is>
      </c>
    </row>
    <row r="2" ht="28" customHeight="1"/>
    <row r="3" ht="30" customHeight="1">
      <c r="A3" s="123" t="inlineStr">
        <is>
          <t>批次外观备注只写肉眼可见的简单描述；不要求透明度、棉絮、冰裂、黑点、矿缺或处理方式判断。</t>
        </is>
      </c>
    </row>
    <row r="4" ht="32" customHeight="1">
      <c r="A4" s="124" t="inlineStr">
        <is>
          <t>导入状态</t>
        </is>
      </c>
      <c r="B4" s="124" t="inlineStr">
        <is>
          <t>lot_id*</t>
        </is>
      </c>
      <c r="C4" s="124" t="inlineStr">
        <is>
          <t>sku*</t>
        </is>
      </c>
      <c r="D4" s="124" t="inlineStr">
        <is>
          <t>供应商编号</t>
        </is>
      </c>
      <c r="E4" s="124" t="inlineStr">
        <is>
          <t>供应商名称</t>
        </is>
      </c>
      <c r="F4" s="124" t="inlineStr">
        <is>
          <t>采购日期</t>
        </is>
      </c>
      <c r="G4" s="124" t="inlineStr">
        <is>
          <t>到货日期</t>
        </is>
      </c>
      <c r="H4" s="124" t="inlineStr">
        <is>
          <t>批次数量*</t>
        </is>
      </c>
      <c r="I4" s="124" t="inlineStr">
        <is>
          <t>当前可用数量*</t>
        </is>
      </c>
      <c r="J4" s="124" t="inlineStr">
        <is>
          <t>锁定数量*</t>
        </is>
      </c>
      <c r="K4" s="124" t="inlineStr">
        <is>
          <t>单位*</t>
        </is>
      </c>
      <c r="L4" s="124" t="inlineStr">
        <is>
          <t>批次成本*</t>
        </is>
      </c>
      <c r="M4" s="124" t="inlineStr">
        <is>
          <t>币种*</t>
        </is>
      </c>
      <c r="N4" s="124" t="inlineStr">
        <is>
          <t>市场品质等级*</t>
        </is>
      </c>
      <c r="O4" s="124" t="inlineStr">
        <is>
          <t>品质信息来源*</t>
        </is>
      </c>
      <c r="P4" s="124" t="inlineStr">
        <is>
          <t>批次外观备注</t>
        </is>
      </c>
      <c r="Q4" s="124" t="inlineStr">
        <is>
          <t>是否有实拍图片*</t>
        </is>
      </c>
      <c r="R4" s="124" t="inlineStr">
        <is>
          <t>是否经过人工确认*</t>
        </is>
      </c>
      <c r="S4" s="124" t="inlineStr">
        <is>
          <t>是否可用于 AI 推荐*</t>
        </is>
      </c>
      <c r="T4" s="124" t="inlineStr">
        <is>
          <t>质检状态*</t>
        </is>
      </c>
      <c r="U4" s="124" t="inlineStr">
        <is>
          <t>备注</t>
        </is>
      </c>
    </row>
    <row r="5">
      <c r="A5" s="118">
        <f>IF(COUNTA(B5:U5)=0,"待填写",IF(OR(B5="",C5="",NOT(ISNUMBER(H5)),NOT(ISNUMBER(I5)),NOT(ISNUMBER(J5)),K5="",NOT(ISNUMBER(L5)),M5="",N5="",O5="",Q5="",R5="",S5="",T5=""),"请补全必填",IF(COUNTIF($B$5:$B$104,B5)&gt;1,"ID重复",IF(COUNTIF('珠子SKU'!$C$5:$C$104,C5)=0,"关联不存在",IF(OR(ISNA(MATCH(K5,'_枚举'!$H$2:$H$5,0)),ISNA(MATCH(M5,'_枚举'!$G$2:$G$3,0)),ISNA(MATCH(N5,'_枚举'!$A$2:$A$4,0)),ISNA(MATCH(O5,'_枚举'!$B$2:$B$5,0)),ISNA(MATCH(Q5,'_枚举'!$C$2:$C$3,0)),ISNA(MATCH(R5,'_枚举'!$C$2:$C$3,0)),ISNA(MATCH(S5,'_枚举'!$C$2:$C$3,0)),ISNA(MATCH(T5,'_枚举'!$I$2:$I$5,0))),"枚举错误",IF(OR(AND(F5&lt;&gt;"",NOT(ISNUMBER(F5))),AND(G5&lt;&gt;"",NOT(ISNUMBER(G5))),NOT(ISNUMBER(H5)),H5&lt;0,NOT(ISNUMBER(I5)),I5&lt;0,NOT(ISNUMBER(J5)),J5&lt;0,I5+J5&gt;H5,NOT(ISNUMBER(L5)),L5&lt;0),"格式错误",IF(AND(S5="TRUE",OR(Q5&lt;&gt;"TRUE",R5&lt;&gt;"TRUE",N5="UNKNOWN",T5&lt;&gt;"PASSED")),"待人工复核","可导入")))))))</f>
        <v/>
      </c>
      <c r="B5" s="125" t="inlineStr">
        <is>
          <t>lot-aq-202607-01</t>
        </is>
      </c>
      <c r="C5" s="125" t="inlineStr">
        <is>
          <t>AQ-CNY-8</t>
        </is>
      </c>
      <c r="D5" s="125" t="inlineStr">
        <is>
          <t>SUP-001</t>
        </is>
      </c>
      <c r="E5" s="125" t="inlineStr">
        <is>
          <t>示例供应商</t>
        </is>
      </c>
      <c r="F5" s="135" t="n"/>
      <c r="G5" s="135" t="n"/>
      <c r="H5" s="127" t="n">
        <v>100</v>
      </c>
      <c r="I5" s="127" t="n">
        <v>100</v>
      </c>
      <c r="J5" s="127" t="n">
        <v>0</v>
      </c>
      <c r="K5" s="127" t="inlineStr">
        <is>
          <t>BEAD</t>
        </is>
      </c>
      <c r="L5" s="127" t="n">
        <v>50400</v>
      </c>
      <c r="M5" s="127" t="inlineStr">
        <is>
          <t>CNY</t>
        </is>
      </c>
      <c r="N5" s="125" t="inlineStr">
        <is>
          <t>COMMERCIAL_A</t>
        </is>
      </c>
      <c r="O5" s="125" t="inlineStr">
        <is>
          <t>SUPPLIER_CLAIM</t>
        </is>
      </c>
      <c r="P5" s="125" t="inlineStr">
        <is>
          <t>普通市场货，以实拍图片为准。</t>
        </is>
      </c>
      <c r="Q5" s="127" t="inlineStr">
        <is>
          <t>TRUE</t>
        </is>
      </c>
      <c r="R5" s="125" t="inlineStr">
        <is>
          <t>TRUE</t>
        </is>
      </c>
      <c r="S5" s="125" t="inlineStr">
        <is>
          <t>TRUE</t>
        </is>
      </c>
      <c r="T5" s="125" t="inlineStr">
        <is>
          <t>PASSED</t>
        </is>
      </c>
      <c r="U5" s="125" t="inlineStr">
        <is>
          <t>示例，可修改</t>
        </is>
      </c>
    </row>
    <row r="6">
      <c r="A6" s="118">
        <f>IF(COUNTA(B6:U6)=0,"待填写",IF(OR(B6="",C6="",NOT(ISNUMBER(H6)),NOT(ISNUMBER(I6)),NOT(ISNUMBER(J6)),K6="",NOT(ISNUMBER(L6)),M6="",N6="",O6="",Q6="",R6="",S6="",T6=""),"请补全必填",IF(COUNTIF($B$5:$B$104,B6)&gt;1,"ID重复",IF(COUNTIF('珠子SKU'!$C$5:$C$104,C6)=0,"关联不存在",IF(OR(ISNA(MATCH(K6,'_枚举'!$H$2:$H$5,0)),ISNA(MATCH(M6,'_枚举'!$G$2:$G$3,0)),ISNA(MATCH(N6,'_枚举'!$A$2:$A$4,0)),ISNA(MATCH(O6,'_枚举'!$B$2:$B$5,0)),ISNA(MATCH(Q6,'_枚举'!$C$2:$C$3,0)),ISNA(MATCH(R6,'_枚举'!$C$2:$C$3,0)),ISNA(MATCH(S6,'_枚举'!$C$2:$C$3,0)),ISNA(MATCH(T6,'_枚举'!$I$2:$I$5,0))),"枚举错误",IF(OR(AND(F6&lt;&gt;"",NOT(ISNUMBER(F6))),AND(G6&lt;&gt;"",NOT(ISNUMBER(G6))),NOT(ISNUMBER(H6)),H6&lt;0,NOT(ISNUMBER(I6)),I6&lt;0,NOT(ISNUMBER(J6)),J6&lt;0,I6+J6&gt;H6,NOT(ISNUMBER(L6)),L6&lt;0),"格式错误",IF(AND(S6="TRUE",OR(Q6&lt;&gt;"TRUE",R6&lt;&gt;"TRUE",N6="UNKNOWN",T6&lt;&gt;"PASSED")),"待人工复核","可导入")))))))</f>
        <v/>
      </c>
      <c r="B6" s="125" t="inlineStr">
        <is>
          <t>lot-am-202607-01</t>
        </is>
      </c>
      <c r="C6" s="125" t="inlineStr">
        <is>
          <t>AM-CNY-8</t>
        </is>
      </c>
      <c r="D6" s="125" t="inlineStr">
        <is>
          <t>SUP-001</t>
        </is>
      </c>
      <c r="E6" s="125" t="inlineStr">
        <is>
          <t>示例供应商</t>
        </is>
      </c>
      <c r="F6" s="135" t="n"/>
      <c r="G6" s="135" t="n"/>
      <c r="H6" s="127" t="n">
        <v>100</v>
      </c>
      <c r="I6" s="127" t="n">
        <v>96</v>
      </c>
      <c r="J6" s="127" t="n">
        <v>4</v>
      </c>
      <c r="K6" s="127" t="inlineStr">
        <is>
          <t>BEAD</t>
        </is>
      </c>
      <c r="L6" s="127" t="n">
        <v>28500</v>
      </c>
      <c r="M6" s="127" t="inlineStr">
        <is>
          <t>CNY</t>
        </is>
      </c>
      <c r="N6" s="125" t="inlineStr">
        <is>
          <t>NEAR_COMMERCIAL_A</t>
        </is>
      </c>
      <c r="O6" s="125" t="inlineStr">
        <is>
          <t>MARKET_DESCRIPTION</t>
        </is>
      </c>
      <c r="P6" s="125" t="inlineStr">
        <is>
          <t>本批次整体偏浅紫，珠子颜色存在差异。</t>
        </is>
      </c>
      <c r="Q6" s="127" t="inlineStr">
        <is>
          <t>TRUE</t>
        </is>
      </c>
      <c r="R6" s="125" t="inlineStr">
        <is>
          <t>TRUE</t>
        </is>
      </c>
      <c r="S6" s="125" t="inlineStr">
        <is>
          <t>TRUE</t>
        </is>
      </c>
      <c r="T6" s="125" t="inlineStr">
        <is>
          <t>PASSED</t>
        </is>
      </c>
      <c r="U6" s="125" t="inlineStr">
        <is>
          <t>示例，可修改</t>
        </is>
      </c>
    </row>
    <row r="7">
      <c r="A7" s="118">
        <f>IF(COUNTA(B7:U7)=0,"待填写",IF(OR(B7="",C7="",NOT(ISNUMBER(H7)),NOT(ISNUMBER(I7)),NOT(ISNUMBER(J7)),K7="",NOT(ISNUMBER(L7)),M7="",N7="",O7="",Q7="",R7="",S7="",T7=""),"请补全必填",IF(COUNTIF($B$5:$B$104,B7)&gt;1,"ID重复",IF(COUNTIF('珠子SKU'!$C$5:$C$104,C7)=0,"关联不存在",IF(OR(ISNA(MATCH(K7,'_枚举'!$H$2:$H$5,0)),ISNA(MATCH(M7,'_枚举'!$G$2:$G$3,0)),ISNA(MATCH(N7,'_枚举'!$A$2:$A$4,0)),ISNA(MATCH(O7,'_枚举'!$B$2:$B$5,0)),ISNA(MATCH(Q7,'_枚举'!$C$2:$C$3,0)),ISNA(MATCH(R7,'_枚举'!$C$2:$C$3,0)),ISNA(MATCH(S7,'_枚举'!$C$2:$C$3,0)),ISNA(MATCH(T7,'_枚举'!$I$2:$I$5,0))),"枚举错误",IF(OR(AND(F7&lt;&gt;"",NOT(ISNUMBER(F7))),AND(G7&lt;&gt;"",NOT(ISNUMBER(G7))),NOT(ISNUMBER(H7)),H7&lt;0,NOT(ISNUMBER(I7)),I7&lt;0,NOT(ISNUMBER(J7)),J7&lt;0,I7+J7&gt;H7,NOT(ISNUMBER(L7)),L7&lt;0),"格式错误",IF(AND(S7="TRUE",OR(Q7&lt;&gt;"TRUE",R7&lt;&gt;"TRUE",N7="UNKNOWN",T7&lt;&gt;"PASSED")),"待人工复核","可导入")))))))</f>
        <v/>
      </c>
      <c r="B7" s="125" t="n"/>
      <c r="C7" s="125" t="n"/>
      <c r="D7" s="125" t="n"/>
      <c r="E7" s="125" t="n"/>
      <c r="F7" s="135" t="n"/>
      <c r="G7" s="135" t="n"/>
      <c r="H7" s="127" t="n"/>
      <c r="I7" s="127" t="n"/>
      <c r="J7" s="127" t="n"/>
      <c r="K7" s="127" t="n"/>
      <c r="L7" s="127" t="n"/>
      <c r="M7" s="127" t="n"/>
      <c r="N7" s="125" t="n"/>
      <c r="O7" s="125" t="n"/>
      <c r="P7" s="125" t="n"/>
      <c r="Q7" s="127" t="n"/>
      <c r="R7" s="125" t="n"/>
      <c r="S7" s="125" t="n"/>
      <c r="T7" s="125" t="n"/>
      <c r="U7" s="125" t="n"/>
    </row>
    <row r="8">
      <c r="A8" s="118">
        <f>IF(COUNTA(B8:U8)=0,"待填写",IF(OR(B8="",C8="",NOT(ISNUMBER(H8)),NOT(ISNUMBER(I8)),NOT(ISNUMBER(J8)),K8="",NOT(ISNUMBER(L8)),M8="",N8="",O8="",Q8="",R8="",S8="",T8=""),"请补全必填",IF(COUNTIF($B$5:$B$104,B8)&gt;1,"ID重复",IF(COUNTIF('珠子SKU'!$C$5:$C$104,C8)=0,"关联不存在",IF(OR(ISNA(MATCH(K8,'_枚举'!$H$2:$H$5,0)),ISNA(MATCH(M8,'_枚举'!$G$2:$G$3,0)),ISNA(MATCH(N8,'_枚举'!$A$2:$A$4,0)),ISNA(MATCH(O8,'_枚举'!$B$2:$B$5,0)),ISNA(MATCH(Q8,'_枚举'!$C$2:$C$3,0)),ISNA(MATCH(R8,'_枚举'!$C$2:$C$3,0)),ISNA(MATCH(S8,'_枚举'!$C$2:$C$3,0)),ISNA(MATCH(T8,'_枚举'!$I$2:$I$5,0))),"枚举错误",IF(OR(AND(F8&lt;&gt;"",NOT(ISNUMBER(F8))),AND(G8&lt;&gt;"",NOT(ISNUMBER(G8))),NOT(ISNUMBER(H8)),H8&lt;0,NOT(ISNUMBER(I8)),I8&lt;0,NOT(ISNUMBER(J8)),J8&lt;0,I8+J8&gt;H8,NOT(ISNUMBER(L8)),L8&lt;0),"格式错误",IF(AND(S8="TRUE",OR(Q8&lt;&gt;"TRUE",R8&lt;&gt;"TRUE",N8="UNKNOWN",T8&lt;&gt;"PASSED")),"待人工复核","可导入")))))))</f>
        <v/>
      </c>
      <c r="B8" s="125" t="n"/>
      <c r="C8" s="125" t="n"/>
      <c r="D8" s="125" t="n"/>
      <c r="E8" s="125" t="n"/>
      <c r="F8" s="135" t="n"/>
      <c r="G8" s="135" t="n"/>
      <c r="H8" s="127" t="n"/>
      <c r="I8" s="127" t="n"/>
      <c r="J8" s="127" t="n"/>
      <c r="K8" s="127" t="n"/>
      <c r="L8" s="127" t="n"/>
      <c r="M8" s="127" t="n"/>
      <c r="N8" s="125" t="n"/>
      <c r="O8" s="125" t="n"/>
      <c r="P8" s="125" t="n"/>
      <c r="Q8" s="127" t="n"/>
      <c r="R8" s="125" t="n"/>
      <c r="S8" s="125" t="n"/>
      <c r="T8" s="125" t="n"/>
      <c r="U8" s="125" t="n"/>
    </row>
    <row r="9">
      <c r="A9" s="118">
        <f>IF(COUNTA(B9:U9)=0,"待填写",IF(OR(B9="",C9="",NOT(ISNUMBER(H9)),NOT(ISNUMBER(I9)),NOT(ISNUMBER(J9)),K9="",NOT(ISNUMBER(L9)),M9="",N9="",O9="",Q9="",R9="",S9="",T9=""),"请补全必填",IF(COUNTIF($B$5:$B$104,B9)&gt;1,"ID重复",IF(COUNTIF('珠子SKU'!$C$5:$C$104,C9)=0,"关联不存在",IF(OR(ISNA(MATCH(K9,'_枚举'!$H$2:$H$5,0)),ISNA(MATCH(M9,'_枚举'!$G$2:$G$3,0)),ISNA(MATCH(N9,'_枚举'!$A$2:$A$4,0)),ISNA(MATCH(O9,'_枚举'!$B$2:$B$5,0)),ISNA(MATCH(Q9,'_枚举'!$C$2:$C$3,0)),ISNA(MATCH(R9,'_枚举'!$C$2:$C$3,0)),ISNA(MATCH(S9,'_枚举'!$C$2:$C$3,0)),ISNA(MATCH(T9,'_枚举'!$I$2:$I$5,0))),"枚举错误",IF(OR(AND(F9&lt;&gt;"",NOT(ISNUMBER(F9))),AND(G9&lt;&gt;"",NOT(ISNUMBER(G9))),NOT(ISNUMBER(H9)),H9&lt;0,NOT(ISNUMBER(I9)),I9&lt;0,NOT(ISNUMBER(J9)),J9&lt;0,I9+J9&gt;H9,NOT(ISNUMBER(L9)),L9&lt;0),"格式错误",IF(AND(S9="TRUE",OR(Q9&lt;&gt;"TRUE",R9&lt;&gt;"TRUE",N9="UNKNOWN",T9&lt;&gt;"PASSED")),"待人工复核","可导入")))))))</f>
        <v/>
      </c>
      <c r="B9" s="125" t="n"/>
      <c r="C9" s="125" t="n"/>
      <c r="D9" s="125" t="n"/>
      <c r="E9" s="125" t="n"/>
      <c r="F9" s="135" t="n"/>
      <c r="G9" s="135" t="n"/>
      <c r="H9" s="127" t="n"/>
      <c r="I9" s="127" t="n"/>
      <c r="J9" s="127" t="n"/>
      <c r="K9" s="127" t="n"/>
      <c r="L9" s="127" t="n"/>
      <c r="M9" s="127" t="n"/>
      <c r="N9" s="125" t="n"/>
      <c r="O9" s="125" t="n"/>
      <c r="P9" s="125" t="n"/>
      <c r="Q9" s="127" t="n"/>
      <c r="R9" s="125" t="n"/>
      <c r="S9" s="125" t="n"/>
      <c r="T9" s="125" t="n"/>
      <c r="U9" s="125" t="n"/>
    </row>
    <row r="10">
      <c r="A10" s="118">
        <f>IF(COUNTA(B10:U10)=0,"待填写",IF(OR(B10="",C10="",NOT(ISNUMBER(H10)),NOT(ISNUMBER(I10)),NOT(ISNUMBER(J10)),K10="",NOT(ISNUMBER(L10)),M10="",N10="",O10="",Q10="",R10="",S10="",T10=""),"请补全必填",IF(COUNTIF($B$5:$B$104,B10)&gt;1,"ID重复",IF(COUNTIF('珠子SKU'!$C$5:$C$104,C10)=0,"关联不存在",IF(OR(ISNA(MATCH(K10,'_枚举'!$H$2:$H$5,0)),ISNA(MATCH(M10,'_枚举'!$G$2:$G$3,0)),ISNA(MATCH(N10,'_枚举'!$A$2:$A$4,0)),ISNA(MATCH(O10,'_枚举'!$B$2:$B$5,0)),ISNA(MATCH(Q10,'_枚举'!$C$2:$C$3,0)),ISNA(MATCH(R10,'_枚举'!$C$2:$C$3,0)),ISNA(MATCH(S10,'_枚举'!$C$2:$C$3,0)),ISNA(MATCH(T10,'_枚举'!$I$2:$I$5,0))),"枚举错误",IF(OR(AND(F10&lt;&gt;"",NOT(ISNUMBER(F10))),AND(G10&lt;&gt;"",NOT(ISNUMBER(G10))),NOT(ISNUMBER(H10)),H10&lt;0,NOT(ISNUMBER(I10)),I10&lt;0,NOT(ISNUMBER(J10)),J10&lt;0,I10+J10&gt;H10,NOT(ISNUMBER(L10)),L10&lt;0),"格式错误",IF(AND(S10="TRUE",OR(Q10&lt;&gt;"TRUE",R10&lt;&gt;"TRUE",N10="UNKNOWN",T10&lt;&gt;"PASSED")),"待人工复核","可导入")))))))</f>
        <v/>
      </c>
      <c r="B10" s="125" t="n"/>
      <c r="C10" s="125" t="n"/>
      <c r="D10" s="125" t="n"/>
      <c r="E10" s="125" t="n"/>
      <c r="F10" s="135" t="n"/>
      <c r="G10" s="135" t="n"/>
      <c r="H10" s="127" t="n"/>
      <c r="I10" s="127" t="n"/>
      <c r="J10" s="127" t="n"/>
      <c r="K10" s="127" t="n"/>
      <c r="L10" s="127" t="n"/>
      <c r="M10" s="127" t="n"/>
      <c r="N10" s="125" t="n"/>
      <c r="O10" s="125" t="n"/>
      <c r="P10" s="125" t="n"/>
      <c r="Q10" s="127" t="n"/>
      <c r="R10" s="125" t="n"/>
      <c r="S10" s="125" t="n"/>
      <c r="T10" s="125" t="n"/>
      <c r="U10" s="125" t="n"/>
    </row>
    <row r="11">
      <c r="A11" s="118">
        <f>IF(COUNTA(B11:U11)=0,"待填写",IF(OR(B11="",C11="",NOT(ISNUMBER(H11)),NOT(ISNUMBER(I11)),NOT(ISNUMBER(J11)),K11="",NOT(ISNUMBER(L11)),M11="",N11="",O11="",Q11="",R11="",S11="",T11=""),"请补全必填",IF(COUNTIF($B$5:$B$104,B11)&gt;1,"ID重复",IF(COUNTIF('珠子SKU'!$C$5:$C$104,C11)=0,"关联不存在",IF(OR(ISNA(MATCH(K11,'_枚举'!$H$2:$H$5,0)),ISNA(MATCH(M11,'_枚举'!$G$2:$G$3,0)),ISNA(MATCH(N11,'_枚举'!$A$2:$A$4,0)),ISNA(MATCH(O11,'_枚举'!$B$2:$B$5,0)),ISNA(MATCH(Q11,'_枚举'!$C$2:$C$3,0)),ISNA(MATCH(R11,'_枚举'!$C$2:$C$3,0)),ISNA(MATCH(S11,'_枚举'!$C$2:$C$3,0)),ISNA(MATCH(T11,'_枚举'!$I$2:$I$5,0))),"枚举错误",IF(OR(AND(F11&lt;&gt;"",NOT(ISNUMBER(F11))),AND(G11&lt;&gt;"",NOT(ISNUMBER(G11))),NOT(ISNUMBER(H11)),H11&lt;0,NOT(ISNUMBER(I11)),I11&lt;0,NOT(ISNUMBER(J11)),J11&lt;0,I11+J11&gt;H11,NOT(ISNUMBER(L11)),L11&lt;0),"格式错误",IF(AND(S11="TRUE",OR(Q11&lt;&gt;"TRUE",R11&lt;&gt;"TRUE",N11="UNKNOWN",T11&lt;&gt;"PASSED")),"待人工复核","可导入")))))))</f>
        <v/>
      </c>
      <c r="B11" s="125" t="n"/>
      <c r="C11" s="125" t="n"/>
      <c r="D11" s="125" t="n"/>
      <c r="E11" s="125" t="n"/>
      <c r="F11" s="135" t="n"/>
      <c r="G11" s="135" t="n"/>
      <c r="H11" s="127" t="n"/>
      <c r="I11" s="127" t="n"/>
      <c r="J11" s="127" t="n"/>
      <c r="K11" s="127" t="n"/>
      <c r="L11" s="127" t="n"/>
      <c r="M11" s="127" t="n"/>
      <c r="N11" s="125" t="n"/>
      <c r="O11" s="125" t="n"/>
      <c r="P11" s="125" t="n"/>
      <c r="Q11" s="127" t="n"/>
      <c r="R11" s="125" t="n"/>
      <c r="S11" s="125" t="n"/>
      <c r="T11" s="125" t="n"/>
      <c r="U11" s="125" t="n"/>
    </row>
    <row r="12">
      <c r="A12" s="118">
        <f>IF(COUNTA(B12:U12)=0,"待填写",IF(OR(B12="",C12="",NOT(ISNUMBER(H12)),NOT(ISNUMBER(I12)),NOT(ISNUMBER(J12)),K12="",NOT(ISNUMBER(L12)),M12="",N12="",O12="",Q12="",R12="",S12="",T12=""),"请补全必填",IF(COUNTIF($B$5:$B$104,B12)&gt;1,"ID重复",IF(COUNTIF('珠子SKU'!$C$5:$C$104,C12)=0,"关联不存在",IF(OR(ISNA(MATCH(K12,'_枚举'!$H$2:$H$5,0)),ISNA(MATCH(M12,'_枚举'!$G$2:$G$3,0)),ISNA(MATCH(N12,'_枚举'!$A$2:$A$4,0)),ISNA(MATCH(O12,'_枚举'!$B$2:$B$5,0)),ISNA(MATCH(Q12,'_枚举'!$C$2:$C$3,0)),ISNA(MATCH(R12,'_枚举'!$C$2:$C$3,0)),ISNA(MATCH(S12,'_枚举'!$C$2:$C$3,0)),ISNA(MATCH(T12,'_枚举'!$I$2:$I$5,0))),"枚举错误",IF(OR(AND(F12&lt;&gt;"",NOT(ISNUMBER(F12))),AND(G12&lt;&gt;"",NOT(ISNUMBER(G12))),NOT(ISNUMBER(H12)),H12&lt;0,NOT(ISNUMBER(I12)),I12&lt;0,NOT(ISNUMBER(J12)),J12&lt;0,I12+J12&gt;H12,NOT(ISNUMBER(L12)),L12&lt;0),"格式错误",IF(AND(S12="TRUE",OR(Q12&lt;&gt;"TRUE",R12&lt;&gt;"TRUE",N12="UNKNOWN",T12&lt;&gt;"PASSED")),"待人工复核","可导入")))))))</f>
        <v/>
      </c>
      <c r="B12" s="125" t="n"/>
      <c r="C12" s="125" t="n"/>
      <c r="D12" s="125" t="n"/>
      <c r="E12" s="125" t="n"/>
      <c r="F12" s="135" t="n"/>
      <c r="G12" s="135" t="n"/>
      <c r="H12" s="127" t="n"/>
      <c r="I12" s="127" t="n"/>
      <c r="J12" s="127" t="n"/>
      <c r="K12" s="127" t="n"/>
      <c r="L12" s="127" t="n"/>
      <c r="M12" s="127" t="n"/>
      <c r="N12" s="125" t="n"/>
      <c r="O12" s="125" t="n"/>
      <c r="P12" s="125" t="n"/>
      <c r="Q12" s="127" t="n"/>
      <c r="R12" s="125" t="n"/>
      <c r="S12" s="125" t="n"/>
      <c r="T12" s="125" t="n"/>
      <c r="U12" s="125" t="n"/>
    </row>
    <row r="13">
      <c r="A13" s="118">
        <f>IF(COUNTA(B13:U13)=0,"待填写",IF(OR(B13="",C13="",NOT(ISNUMBER(H13)),NOT(ISNUMBER(I13)),NOT(ISNUMBER(J13)),K13="",NOT(ISNUMBER(L13)),M13="",N13="",O13="",Q13="",R13="",S13="",T13=""),"请补全必填",IF(COUNTIF($B$5:$B$104,B13)&gt;1,"ID重复",IF(COUNTIF('珠子SKU'!$C$5:$C$104,C13)=0,"关联不存在",IF(OR(ISNA(MATCH(K13,'_枚举'!$H$2:$H$5,0)),ISNA(MATCH(M13,'_枚举'!$G$2:$G$3,0)),ISNA(MATCH(N13,'_枚举'!$A$2:$A$4,0)),ISNA(MATCH(O13,'_枚举'!$B$2:$B$5,0)),ISNA(MATCH(Q13,'_枚举'!$C$2:$C$3,0)),ISNA(MATCH(R13,'_枚举'!$C$2:$C$3,0)),ISNA(MATCH(S13,'_枚举'!$C$2:$C$3,0)),ISNA(MATCH(T13,'_枚举'!$I$2:$I$5,0))),"枚举错误",IF(OR(AND(F13&lt;&gt;"",NOT(ISNUMBER(F13))),AND(G13&lt;&gt;"",NOT(ISNUMBER(G13))),NOT(ISNUMBER(H13)),H13&lt;0,NOT(ISNUMBER(I13)),I13&lt;0,NOT(ISNUMBER(J13)),J13&lt;0,I13+J13&gt;H13,NOT(ISNUMBER(L13)),L13&lt;0),"格式错误",IF(AND(S13="TRUE",OR(Q13&lt;&gt;"TRUE",R13&lt;&gt;"TRUE",N13="UNKNOWN",T13&lt;&gt;"PASSED")),"待人工复核","可导入")))))))</f>
        <v/>
      </c>
      <c r="B13" s="125" t="n"/>
      <c r="C13" s="125" t="n"/>
      <c r="D13" s="125" t="n"/>
      <c r="E13" s="125" t="n"/>
      <c r="F13" s="135" t="n"/>
      <c r="G13" s="135" t="n"/>
      <c r="H13" s="127" t="n"/>
      <c r="I13" s="127" t="n"/>
      <c r="J13" s="127" t="n"/>
      <c r="K13" s="127" t="n"/>
      <c r="L13" s="127" t="n"/>
      <c r="M13" s="127" t="n"/>
      <c r="N13" s="125" t="n"/>
      <c r="O13" s="125" t="n"/>
      <c r="P13" s="125" t="n"/>
      <c r="Q13" s="127" t="n"/>
      <c r="R13" s="125" t="n"/>
      <c r="S13" s="125" t="n"/>
      <c r="T13" s="125" t="n"/>
      <c r="U13" s="125" t="n"/>
    </row>
    <row r="14">
      <c r="A14" s="118">
        <f>IF(COUNTA(B14:U14)=0,"待填写",IF(OR(B14="",C14="",NOT(ISNUMBER(H14)),NOT(ISNUMBER(I14)),NOT(ISNUMBER(J14)),K14="",NOT(ISNUMBER(L14)),M14="",N14="",O14="",Q14="",R14="",S14="",T14=""),"请补全必填",IF(COUNTIF($B$5:$B$104,B14)&gt;1,"ID重复",IF(COUNTIF('珠子SKU'!$C$5:$C$104,C14)=0,"关联不存在",IF(OR(ISNA(MATCH(K14,'_枚举'!$H$2:$H$5,0)),ISNA(MATCH(M14,'_枚举'!$G$2:$G$3,0)),ISNA(MATCH(N14,'_枚举'!$A$2:$A$4,0)),ISNA(MATCH(O14,'_枚举'!$B$2:$B$5,0)),ISNA(MATCH(Q14,'_枚举'!$C$2:$C$3,0)),ISNA(MATCH(R14,'_枚举'!$C$2:$C$3,0)),ISNA(MATCH(S14,'_枚举'!$C$2:$C$3,0)),ISNA(MATCH(T14,'_枚举'!$I$2:$I$5,0))),"枚举错误",IF(OR(AND(F14&lt;&gt;"",NOT(ISNUMBER(F14))),AND(G14&lt;&gt;"",NOT(ISNUMBER(G14))),NOT(ISNUMBER(H14)),H14&lt;0,NOT(ISNUMBER(I14)),I14&lt;0,NOT(ISNUMBER(J14)),J14&lt;0,I14+J14&gt;H14,NOT(ISNUMBER(L14)),L14&lt;0),"格式错误",IF(AND(S14="TRUE",OR(Q14&lt;&gt;"TRUE",R14&lt;&gt;"TRUE",N14="UNKNOWN",T14&lt;&gt;"PASSED")),"待人工复核","可导入")))))))</f>
        <v/>
      </c>
      <c r="B14" s="125" t="n"/>
      <c r="C14" s="125" t="n"/>
      <c r="D14" s="125" t="n"/>
      <c r="E14" s="125" t="n"/>
      <c r="F14" s="135" t="n"/>
      <c r="G14" s="135" t="n"/>
      <c r="H14" s="127" t="n"/>
      <c r="I14" s="127" t="n"/>
      <c r="J14" s="127" t="n"/>
      <c r="K14" s="127" t="n"/>
      <c r="L14" s="127" t="n"/>
      <c r="M14" s="127" t="n"/>
      <c r="N14" s="125" t="n"/>
      <c r="O14" s="125" t="n"/>
      <c r="P14" s="125" t="n"/>
      <c r="Q14" s="127" t="n"/>
      <c r="R14" s="125" t="n"/>
      <c r="S14" s="125" t="n"/>
      <c r="T14" s="125" t="n"/>
      <c r="U14" s="125" t="n"/>
    </row>
    <row r="15">
      <c r="A15" s="118">
        <f>IF(COUNTA(B15:U15)=0,"待填写",IF(OR(B15="",C15="",NOT(ISNUMBER(H15)),NOT(ISNUMBER(I15)),NOT(ISNUMBER(J15)),K15="",NOT(ISNUMBER(L15)),M15="",N15="",O15="",Q15="",R15="",S15="",T15=""),"请补全必填",IF(COUNTIF($B$5:$B$104,B15)&gt;1,"ID重复",IF(COUNTIF('珠子SKU'!$C$5:$C$104,C15)=0,"关联不存在",IF(OR(ISNA(MATCH(K15,'_枚举'!$H$2:$H$5,0)),ISNA(MATCH(M15,'_枚举'!$G$2:$G$3,0)),ISNA(MATCH(N15,'_枚举'!$A$2:$A$4,0)),ISNA(MATCH(O15,'_枚举'!$B$2:$B$5,0)),ISNA(MATCH(Q15,'_枚举'!$C$2:$C$3,0)),ISNA(MATCH(R15,'_枚举'!$C$2:$C$3,0)),ISNA(MATCH(S15,'_枚举'!$C$2:$C$3,0)),ISNA(MATCH(T15,'_枚举'!$I$2:$I$5,0))),"枚举错误",IF(OR(AND(F15&lt;&gt;"",NOT(ISNUMBER(F15))),AND(G15&lt;&gt;"",NOT(ISNUMBER(G15))),NOT(ISNUMBER(H15)),H15&lt;0,NOT(ISNUMBER(I15)),I15&lt;0,NOT(ISNUMBER(J15)),J15&lt;0,I15+J15&gt;H15,NOT(ISNUMBER(L15)),L15&lt;0),"格式错误",IF(AND(S15="TRUE",OR(Q15&lt;&gt;"TRUE",R15&lt;&gt;"TRUE",N15="UNKNOWN",T15&lt;&gt;"PASSED")),"待人工复核","可导入")))))))</f>
        <v/>
      </c>
      <c r="B15" s="125" t="n"/>
      <c r="C15" s="125" t="n"/>
      <c r="D15" s="125" t="n"/>
      <c r="E15" s="125" t="n"/>
      <c r="F15" s="135" t="n"/>
      <c r="G15" s="135" t="n"/>
      <c r="H15" s="127" t="n"/>
      <c r="I15" s="127" t="n"/>
      <c r="J15" s="127" t="n"/>
      <c r="K15" s="127" t="n"/>
      <c r="L15" s="127" t="n"/>
      <c r="M15" s="127" t="n"/>
      <c r="N15" s="125" t="n"/>
      <c r="O15" s="125" t="n"/>
      <c r="P15" s="125" t="n"/>
      <c r="Q15" s="127" t="n"/>
      <c r="R15" s="125" t="n"/>
      <c r="S15" s="125" t="n"/>
      <c r="T15" s="125" t="n"/>
      <c r="U15" s="125" t="n"/>
    </row>
    <row r="16">
      <c r="A16" s="118">
        <f>IF(COUNTA(B16:U16)=0,"待填写",IF(OR(B16="",C16="",NOT(ISNUMBER(H16)),NOT(ISNUMBER(I16)),NOT(ISNUMBER(J16)),K16="",NOT(ISNUMBER(L16)),M16="",N16="",O16="",Q16="",R16="",S16="",T16=""),"请补全必填",IF(COUNTIF($B$5:$B$104,B16)&gt;1,"ID重复",IF(COUNTIF('珠子SKU'!$C$5:$C$104,C16)=0,"关联不存在",IF(OR(ISNA(MATCH(K16,'_枚举'!$H$2:$H$5,0)),ISNA(MATCH(M16,'_枚举'!$G$2:$G$3,0)),ISNA(MATCH(N16,'_枚举'!$A$2:$A$4,0)),ISNA(MATCH(O16,'_枚举'!$B$2:$B$5,0)),ISNA(MATCH(Q16,'_枚举'!$C$2:$C$3,0)),ISNA(MATCH(R16,'_枚举'!$C$2:$C$3,0)),ISNA(MATCH(S16,'_枚举'!$C$2:$C$3,0)),ISNA(MATCH(T16,'_枚举'!$I$2:$I$5,0))),"枚举错误",IF(OR(AND(F16&lt;&gt;"",NOT(ISNUMBER(F16))),AND(G16&lt;&gt;"",NOT(ISNUMBER(G16))),NOT(ISNUMBER(H16)),H16&lt;0,NOT(ISNUMBER(I16)),I16&lt;0,NOT(ISNUMBER(J16)),J16&lt;0,I16+J16&gt;H16,NOT(ISNUMBER(L16)),L16&lt;0),"格式错误",IF(AND(S16="TRUE",OR(Q16&lt;&gt;"TRUE",R16&lt;&gt;"TRUE",N16="UNKNOWN",T16&lt;&gt;"PASSED")),"待人工复核","可导入")))))))</f>
        <v/>
      </c>
      <c r="B16" s="125" t="n"/>
      <c r="C16" s="125" t="n"/>
      <c r="D16" s="125" t="n"/>
      <c r="E16" s="125" t="n"/>
      <c r="F16" s="135" t="n"/>
      <c r="G16" s="135" t="n"/>
      <c r="H16" s="127" t="n"/>
      <c r="I16" s="127" t="n"/>
      <c r="J16" s="127" t="n"/>
      <c r="K16" s="127" t="n"/>
      <c r="L16" s="127" t="n"/>
      <c r="M16" s="127" t="n"/>
      <c r="N16" s="125" t="n"/>
      <c r="O16" s="125" t="n"/>
      <c r="P16" s="125" t="n"/>
      <c r="Q16" s="127" t="n"/>
      <c r="R16" s="125" t="n"/>
      <c r="S16" s="125" t="n"/>
      <c r="T16" s="125" t="n"/>
      <c r="U16" s="125" t="n"/>
    </row>
    <row r="17">
      <c r="A17" s="118">
        <f>IF(COUNTA(B17:U17)=0,"待填写",IF(OR(B17="",C17="",NOT(ISNUMBER(H17)),NOT(ISNUMBER(I17)),NOT(ISNUMBER(J17)),K17="",NOT(ISNUMBER(L17)),M17="",N17="",O17="",Q17="",R17="",S17="",T17=""),"请补全必填",IF(COUNTIF($B$5:$B$104,B17)&gt;1,"ID重复",IF(COUNTIF('珠子SKU'!$C$5:$C$104,C17)=0,"关联不存在",IF(OR(ISNA(MATCH(K17,'_枚举'!$H$2:$H$5,0)),ISNA(MATCH(M17,'_枚举'!$G$2:$G$3,0)),ISNA(MATCH(N17,'_枚举'!$A$2:$A$4,0)),ISNA(MATCH(O17,'_枚举'!$B$2:$B$5,0)),ISNA(MATCH(Q17,'_枚举'!$C$2:$C$3,0)),ISNA(MATCH(R17,'_枚举'!$C$2:$C$3,0)),ISNA(MATCH(S17,'_枚举'!$C$2:$C$3,0)),ISNA(MATCH(T17,'_枚举'!$I$2:$I$5,0))),"枚举错误",IF(OR(AND(F17&lt;&gt;"",NOT(ISNUMBER(F17))),AND(G17&lt;&gt;"",NOT(ISNUMBER(G17))),NOT(ISNUMBER(H17)),H17&lt;0,NOT(ISNUMBER(I17)),I17&lt;0,NOT(ISNUMBER(J17)),J17&lt;0,I17+J17&gt;H17,NOT(ISNUMBER(L17)),L17&lt;0),"格式错误",IF(AND(S17="TRUE",OR(Q17&lt;&gt;"TRUE",R17&lt;&gt;"TRUE",N17="UNKNOWN",T17&lt;&gt;"PASSED")),"待人工复核","可导入")))))))</f>
        <v/>
      </c>
      <c r="B17" s="125" t="n"/>
      <c r="C17" s="125" t="n"/>
      <c r="D17" s="125" t="n"/>
      <c r="E17" s="125" t="n"/>
      <c r="F17" s="135" t="n"/>
      <c r="G17" s="135" t="n"/>
      <c r="H17" s="127" t="n"/>
      <c r="I17" s="127" t="n"/>
      <c r="J17" s="127" t="n"/>
      <c r="K17" s="127" t="n"/>
      <c r="L17" s="127" t="n"/>
      <c r="M17" s="127" t="n"/>
      <c r="N17" s="125" t="n"/>
      <c r="O17" s="125" t="n"/>
      <c r="P17" s="125" t="n"/>
      <c r="Q17" s="127" t="n"/>
      <c r="R17" s="125" t="n"/>
      <c r="S17" s="125" t="n"/>
      <c r="T17" s="125" t="n"/>
      <c r="U17" s="125" t="n"/>
    </row>
    <row r="18">
      <c r="A18" s="118">
        <f>IF(COUNTA(B18:U18)=0,"待填写",IF(OR(B18="",C18="",NOT(ISNUMBER(H18)),NOT(ISNUMBER(I18)),NOT(ISNUMBER(J18)),K18="",NOT(ISNUMBER(L18)),M18="",N18="",O18="",Q18="",R18="",S18="",T18=""),"请补全必填",IF(COUNTIF($B$5:$B$104,B18)&gt;1,"ID重复",IF(COUNTIF('珠子SKU'!$C$5:$C$104,C18)=0,"关联不存在",IF(OR(ISNA(MATCH(K18,'_枚举'!$H$2:$H$5,0)),ISNA(MATCH(M18,'_枚举'!$G$2:$G$3,0)),ISNA(MATCH(N18,'_枚举'!$A$2:$A$4,0)),ISNA(MATCH(O18,'_枚举'!$B$2:$B$5,0)),ISNA(MATCH(Q18,'_枚举'!$C$2:$C$3,0)),ISNA(MATCH(R18,'_枚举'!$C$2:$C$3,0)),ISNA(MATCH(S18,'_枚举'!$C$2:$C$3,0)),ISNA(MATCH(T18,'_枚举'!$I$2:$I$5,0))),"枚举错误",IF(OR(AND(F18&lt;&gt;"",NOT(ISNUMBER(F18))),AND(G18&lt;&gt;"",NOT(ISNUMBER(G18))),NOT(ISNUMBER(H18)),H18&lt;0,NOT(ISNUMBER(I18)),I18&lt;0,NOT(ISNUMBER(J18)),J18&lt;0,I18+J18&gt;H18,NOT(ISNUMBER(L18)),L18&lt;0),"格式错误",IF(AND(S18="TRUE",OR(Q18&lt;&gt;"TRUE",R18&lt;&gt;"TRUE",N18="UNKNOWN",T18&lt;&gt;"PASSED")),"待人工复核","可导入")))))))</f>
        <v/>
      </c>
      <c r="B18" s="125" t="n"/>
      <c r="C18" s="125" t="n"/>
      <c r="D18" s="125" t="n"/>
      <c r="E18" s="125" t="n"/>
      <c r="F18" s="135" t="n"/>
      <c r="G18" s="135" t="n"/>
      <c r="H18" s="127" t="n"/>
      <c r="I18" s="127" t="n"/>
      <c r="J18" s="127" t="n"/>
      <c r="K18" s="127" t="n"/>
      <c r="L18" s="127" t="n"/>
      <c r="M18" s="127" t="n"/>
      <c r="N18" s="125" t="n"/>
      <c r="O18" s="125" t="n"/>
      <c r="P18" s="125" t="n"/>
      <c r="Q18" s="127" t="n"/>
      <c r="R18" s="125" t="n"/>
      <c r="S18" s="125" t="n"/>
      <c r="T18" s="125" t="n"/>
      <c r="U18" s="125" t="n"/>
    </row>
    <row r="19">
      <c r="A19" s="118">
        <f>IF(COUNTA(B19:U19)=0,"待填写",IF(OR(B19="",C19="",NOT(ISNUMBER(H19)),NOT(ISNUMBER(I19)),NOT(ISNUMBER(J19)),K19="",NOT(ISNUMBER(L19)),M19="",N19="",O19="",Q19="",R19="",S19="",T19=""),"请补全必填",IF(COUNTIF($B$5:$B$104,B19)&gt;1,"ID重复",IF(COUNTIF('珠子SKU'!$C$5:$C$104,C19)=0,"关联不存在",IF(OR(ISNA(MATCH(K19,'_枚举'!$H$2:$H$5,0)),ISNA(MATCH(M19,'_枚举'!$G$2:$G$3,0)),ISNA(MATCH(N19,'_枚举'!$A$2:$A$4,0)),ISNA(MATCH(O19,'_枚举'!$B$2:$B$5,0)),ISNA(MATCH(Q19,'_枚举'!$C$2:$C$3,0)),ISNA(MATCH(R19,'_枚举'!$C$2:$C$3,0)),ISNA(MATCH(S19,'_枚举'!$C$2:$C$3,0)),ISNA(MATCH(T19,'_枚举'!$I$2:$I$5,0))),"枚举错误",IF(OR(AND(F19&lt;&gt;"",NOT(ISNUMBER(F19))),AND(G19&lt;&gt;"",NOT(ISNUMBER(G19))),NOT(ISNUMBER(H19)),H19&lt;0,NOT(ISNUMBER(I19)),I19&lt;0,NOT(ISNUMBER(J19)),J19&lt;0,I19+J19&gt;H19,NOT(ISNUMBER(L19)),L19&lt;0),"格式错误",IF(AND(S19="TRUE",OR(Q19&lt;&gt;"TRUE",R19&lt;&gt;"TRUE",N19="UNKNOWN",T19&lt;&gt;"PASSED")),"待人工复核","可导入")))))))</f>
        <v/>
      </c>
      <c r="B19" s="125" t="n"/>
      <c r="C19" s="125" t="n"/>
      <c r="D19" s="125" t="n"/>
      <c r="E19" s="125" t="n"/>
      <c r="F19" s="135" t="n"/>
      <c r="G19" s="135" t="n"/>
      <c r="H19" s="127" t="n"/>
      <c r="I19" s="127" t="n"/>
      <c r="J19" s="127" t="n"/>
      <c r="K19" s="127" t="n"/>
      <c r="L19" s="127" t="n"/>
      <c r="M19" s="127" t="n"/>
      <c r="N19" s="125" t="n"/>
      <c r="O19" s="125" t="n"/>
      <c r="P19" s="125" t="n"/>
      <c r="Q19" s="127" t="n"/>
      <c r="R19" s="125" t="n"/>
      <c r="S19" s="125" t="n"/>
      <c r="T19" s="125" t="n"/>
      <c r="U19" s="125" t="n"/>
    </row>
    <row r="20">
      <c r="A20" s="118">
        <f>IF(COUNTA(B20:U20)=0,"待填写",IF(OR(B20="",C20="",NOT(ISNUMBER(H20)),NOT(ISNUMBER(I20)),NOT(ISNUMBER(J20)),K20="",NOT(ISNUMBER(L20)),M20="",N20="",O20="",Q20="",R20="",S20="",T20=""),"请补全必填",IF(COUNTIF($B$5:$B$104,B20)&gt;1,"ID重复",IF(COUNTIF('珠子SKU'!$C$5:$C$104,C20)=0,"关联不存在",IF(OR(ISNA(MATCH(K20,'_枚举'!$H$2:$H$5,0)),ISNA(MATCH(M20,'_枚举'!$G$2:$G$3,0)),ISNA(MATCH(N20,'_枚举'!$A$2:$A$4,0)),ISNA(MATCH(O20,'_枚举'!$B$2:$B$5,0)),ISNA(MATCH(Q20,'_枚举'!$C$2:$C$3,0)),ISNA(MATCH(R20,'_枚举'!$C$2:$C$3,0)),ISNA(MATCH(S20,'_枚举'!$C$2:$C$3,0)),ISNA(MATCH(T20,'_枚举'!$I$2:$I$5,0))),"枚举错误",IF(OR(AND(F20&lt;&gt;"",NOT(ISNUMBER(F20))),AND(G20&lt;&gt;"",NOT(ISNUMBER(G20))),NOT(ISNUMBER(H20)),H20&lt;0,NOT(ISNUMBER(I20)),I20&lt;0,NOT(ISNUMBER(J20)),J20&lt;0,I20+J20&gt;H20,NOT(ISNUMBER(L20)),L20&lt;0),"格式错误",IF(AND(S20="TRUE",OR(Q20&lt;&gt;"TRUE",R20&lt;&gt;"TRUE",N20="UNKNOWN",T20&lt;&gt;"PASSED")),"待人工复核","可导入")))))))</f>
        <v/>
      </c>
      <c r="B20" s="125" t="n"/>
      <c r="C20" s="125" t="n"/>
      <c r="D20" s="125" t="n"/>
      <c r="E20" s="125" t="n"/>
      <c r="F20" s="135" t="n"/>
      <c r="G20" s="135" t="n"/>
      <c r="H20" s="127" t="n"/>
      <c r="I20" s="127" t="n"/>
      <c r="J20" s="127" t="n"/>
      <c r="K20" s="127" t="n"/>
      <c r="L20" s="127" t="n"/>
      <c r="M20" s="127" t="n"/>
      <c r="N20" s="125" t="n"/>
      <c r="O20" s="125" t="n"/>
      <c r="P20" s="125" t="n"/>
      <c r="Q20" s="127" t="n"/>
      <c r="R20" s="125" t="n"/>
      <c r="S20" s="125" t="n"/>
      <c r="T20" s="125" t="n"/>
      <c r="U20" s="125" t="n"/>
    </row>
    <row r="21">
      <c r="A21" s="118">
        <f>IF(COUNTA(B21:U21)=0,"待填写",IF(OR(B21="",C21="",NOT(ISNUMBER(H21)),NOT(ISNUMBER(I21)),NOT(ISNUMBER(J21)),K21="",NOT(ISNUMBER(L21)),M21="",N21="",O21="",Q21="",R21="",S21="",T21=""),"请补全必填",IF(COUNTIF($B$5:$B$104,B21)&gt;1,"ID重复",IF(COUNTIF('珠子SKU'!$C$5:$C$104,C21)=0,"关联不存在",IF(OR(ISNA(MATCH(K21,'_枚举'!$H$2:$H$5,0)),ISNA(MATCH(M21,'_枚举'!$G$2:$G$3,0)),ISNA(MATCH(N21,'_枚举'!$A$2:$A$4,0)),ISNA(MATCH(O21,'_枚举'!$B$2:$B$5,0)),ISNA(MATCH(Q21,'_枚举'!$C$2:$C$3,0)),ISNA(MATCH(R21,'_枚举'!$C$2:$C$3,0)),ISNA(MATCH(S21,'_枚举'!$C$2:$C$3,0)),ISNA(MATCH(T21,'_枚举'!$I$2:$I$5,0))),"枚举错误",IF(OR(AND(F21&lt;&gt;"",NOT(ISNUMBER(F21))),AND(G21&lt;&gt;"",NOT(ISNUMBER(G21))),NOT(ISNUMBER(H21)),H21&lt;0,NOT(ISNUMBER(I21)),I21&lt;0,NOT(ISNUMBER(J21)),J21&lt;0,I21+J21&gt;H21,NOT(ISNUMBER(L21)),L21&lt;0),"格式错误",IF(AND(S21="TRUE",OR(Q21&lt;&gt;"TRUE",R21&lt;&gt;"TRUE",N21="UNKNOWN",T21&lt;&gt;"PASSED")),"待人工复核","可导入")))))))</f>
        <v/>
      </c>
      <c r="B21" s="125" t="n"/>
      <c r="C21" s="125" t="n"/>
      <c r="D21" s="125" t="n"/>
      <c r="E21" s="125" t="n"/>
      <c r="F21" s="135" t="n"/>
      <c r="G21" s="135" t="n"/>
      <c r="H21" s="127" t="n"/>
      <c r="I21" s="127" t="n"/>
      <c r="J21" s="127" t="n"/>
      <c r="K21" s="127" t="n"/>
      <c r="L21" s="127" t="n"/>
      <c r="M21" s="127" t="n"/>
      <c r="N21" s="125" t="n"/>
      <c r="O21" s="125" t="n"/>
      <c r="P21" s="125" t="n"/>
      <c r="Q21" s="127" t="n"/>
      <c r="R21" s="125" t="n"/>
      <c r="S21" s="125" t="n"/>
      <c r="T21" s="125" t="n"/>
      <c r="U21" s="125" t="n"/>
    </row>
    <row r="22">
      <c r="A22" s="118">
        <f>IF(COUNTA(B22:U22)=0,"待填写",IF(OR(B22="",C22="",NOT(ISNUMBER(H22)),NOT(ISNUMBER(I22)),NOT(ISNUMBER(J22)),K22="",NOT(ISNUMBER(L22)),M22="",N22="",O22="",Q22="",R22="",S22="",T22=""),"请补全必填",IF(COUNTIF($B$5:$B$104,B22)&gt;1,"ID重复",IF(COUNTIF('珠子SKU'!$C$5:$C$104,C22)=0,"关联不存在",IF(OR(ISNA(MATCH(K22,'_枚举'!$H$2:$H$5,0)),ISNA(MATCH(M22,'_枚举'!$G$2:$G$3,0)),ISNA(MATCH(N22,'_枚举'!$A$2:$A$4,0)),ISNA(MATCH(O22,'_枚举'!$B$2:$B$5,0)),ISNA(MATCH(Q22,'_枚举'!$C$2:$C$3,0)),ISNA(MATCH(R22,'_枚举'!$C$2:$C$3,0)),ISNA(MATCH(S22,'_枚举'!$C$2:$C$3,0)),ISNA(MATCH(T22,'_枚举'!$I$2:$I$5,0))),"枚举错误",IF(OR(AND(F22&lt;&gt;"",NOT(ISNUMBER(F22))),AND(G22&lt;&gt;"",NOT(ISNUMBER(G22))),NOT(ISNUMBER(H22)),H22&lt;0,NOT(ISNUMBER(I22)),I22&lt;0,NOT(ISNUMBER(J22)),J22&lt;0,I22+J22&gt;H22,NOT(ISNUMBER(L22)),L22&lt;0),"格式错误",IF(AND(S22="TRUE",OR(Q22&lt;&gt;"TRUE",R22&lt;&gt;"TRUE",N22="UNKNOWN",T22&lt;&gt;"PASSED")),"待人工复核","可导入")))))))</f>
        <v/>
      </c>
      <c r="B22" s="125" t="n"/>
      <c r="C22" s="125" t="n"/>
      <c r="D22" s="125" t="n"/>
      <c r="E22" s="125" t="n"/>
      <c r="F22" s="135" t="n"/>
      <c r="G22" s="135" t="n"/>
      <c r="H22" s="127" t="n"/>
      <c r="I22" s="127" t="n"/>
      <c r="J22" s="127" t="n"/>
      <c r="K22" s="127" t="n"/>
      <c r="L22" s="127" t="n"/>
      <c r="M22" s="127" t="n"/>
      <c r="N22" s="125" t="n"/>
      <c r="O22" s="125" t="n"/>
      <c r="P22" s="125" t="n"/>
      <c r="Q22" s="127" t="n"/>
      <c r="R22" s="125" t="n"/>
      <c r="S22" s="125" t="n"/>
      <c r="T22" s="125" t="n"/>
      <c r="U22" s="125" t="n"/>
    </row>
    <row r="23">
      <c r="A23" s="118">
        <f>IF(COUNTA(B23:U23)=0,"待填写",IF(OR(B23="",C23="",NOT(ISNUMBER(H23)),NOT(ISNUMBER(I23)),NOT(ISNUMBER(J23)),K23="",NOT(ISNUMBER(L23)),M23="",N23="",O23="",Q23="",R23="",S23="",T23=""),"请补全必填",IF(COUNTIF($B$5:$B$104,B23)&gt;1,"ID重复",IF(COUNTIF('珠子SKU'!$C$5:$C$104,C23)=0,"关联不存在",IF(OR(ISNA(MATCH(K23,'_枚举'!$H$2:$H$5,0)),ISNA(MATCH(M23,'_枚举'!$G$2:$G$3,0)),ISNA(MATCH(N23,'_枚举'!$A$2:$A$4,0)),ISNA(MATCH(O23,'_枚举'!$B$2:$B$5,0)),ISNA(MATCH(Q23,'_枚举'!$C$2:$C$3,0)),ISNA(MATCH(R23,'_枚举'!$C$2:$C$3,0)),ISNA(MATCH(S23,'_枚举'!$C$2:$C$3,0)),ISNA(MATCH(T23,'_枚举'!$I$2:$I$5,0))),"枚举错误",IF(OR(AND(F23&lt;&gt;"",NOT(ISNUMBER(F23))),AND(G23&lt;&gt;"",NOT(ISNUMBER(G23))),NOT(ISNUMBER(H23)),H23&lt;0,NOT(ISNUMBER(I23)),I23&lt;0,NOT(ISNUMBER(J23)),J23&lt;0,I23+J23&gt;H23,NOT(ISNUMBER(L23)),L23&lt;0),"格式错误",IF(AND(S23="TRUE",OR(Q23&lt;&gt;"TRUE",R23&lt;&gt;"TRUE",N23="UNKNOWN",T23&lt;&gt;"PASSED")),"待人工复核","可导入")))))))</f>
        <v/>
      </c>
      <c r="B23" s="125" t="n"/>
      <c r="C23" s="125" t="n"/>
      <c r="D23" s="125" t="n"/>
      <c r="E23" s="125" t="n"/>
      <c r="F23" s="135" t="n"/>
      <c r="G23" s="135" t="n"/>
      <c r="H23" s="127" t="n"/>
      <c r="I23" s="127" t="n"/>
      <c r="J23" s="127" t="n"/>
      <c r="K23" s="127" t="n"/>
      <c r="L23" s="127" t="n"/>
      <c r="M23" s="127" t="n"/>
      <c r="N23" s="125" t="n"/>
      <c r="O23" s="125" t="n"/>
      <c r="P23" s="125" t="n"/>
      <c r="Q23" s="127" t="n"/>
      <c r="R23" s="125" t="n"/>
      <c r="S23" s="125" t="n"/>
      <c r="T23" s="125" t="n"/>
      <c r="U23" s="125" t="n"/>
    </row>
    <row r="24">
      <c r="A24" s="118">
        <f>IF(COUNTA(B24:U24)=0,"待填写",IF(OR(B24="",C24="",NOT(ISNUMBER(H24)),NOT(ISNUMBER(I24)),NOT(ISNUMBER(J24)),K24="",NOT(ISNUMBER(L24)),M24="",N24="",O24="",Q24="",R24="",S24="",T24=""),"请补全必填",IF(COUNTIF($B$5:$B$104,B24)&gt;1,"ID重复",IF(COUNTIF('珠子SKU'!$C$5:$C$104,C24)=0,"关联不存在",IF(OR(ISNA(MATCH(K24,'_枚举'!$H$2:$H$5,0)),ISNA(MATCH(M24,'_枚举'!$G$2:$G$3,0)),ISNA(MATCH(N24,'_枚举'!$A$2:$A$4,0)),ISNA(MATCH(O24,'_枚举'!$B$2:$B$5,0)),ISNA(MATCH(Q24,'_枚举'!$C$2:$C$3,0)),ISNA(MATCH(R24,'_枚举'!$C$2:$C$3,0)),ISNA(MATCH(S24,'_枚举'!$C$2:$C$3,0)),ISNA(MATCH(T24,'_枚举'!$I$2:$I$5,0))),"枚举错误",IF(OR(AND(F24&lt;&gt;"",NOT(ISNUMBER(F24))),AND(G24&lt;&gt;"",NOT(ISNUMBER(G24))),NOT(ISNUMBER(H24)),H24&lt;0,NOT(ISNUMBER(I24)),I24&lt;0,NOT(ISNUMBER(J24)),J24&lt;0,I24+J24&gt;H24,NOT(ISNUMBER(L24)),L24&lt;0),"格式错误",IF(AND(S24="TRUE",OR(Q24&lt;&gt;"TRUE",R24&lt;&gt;"TRUE",N24="UNKNOWN",T24&lt;&gt;"PASSED")),"待人工复核","可导入")))))))</f>
        <v/>
      </c>
      <c r="B24" s="125" t="n"/>
      <c r="C24" s="125" t="n"/>
      <c r="D24" s="125" t="n"/>
      <c r="E24" s="125" t="n"/>
      <c r="F24" s="135" t="n"/>
      <c r="G24" s="135" t="n"/>
      <c r="H24" s="127" t="n"/>
      <c r="I24" s="127" t="n"/>
      <c r="J24" s="127" t="n"/>
      <c r="K24" s="127" t="n"/>
      <c r="L24" s="127" t="n"/>
      <c r="M24" s="127" t="n"/>
      <c r="N24" s="125" t="n"/>
      <c r="O24" s="125" t="n"/>
      <c r="P24" s="125" t="n"/>
      <c r="Q24" s="127" t="n"/>
      <c r="R24" s="125" t="n"/>
      <c r="S24" s="125" t="n"/>
      <c r="T24" s="125" t="n"/>
      <c r="U24" s="125" t="n"/>
    </row>
    <row r="25">
      <c r="A25" s="118">
        <f>IF(COUNTA(B25:U25)=0,"待填写",IF(OR(B25="",C25="",NOT(ISNUMBER(H25)),NOT(ISNUMBER(I25)),NOT(ISNUMBER(J25)),K25="",NOT(ISNUMBER(L25)),M25="",N25="",O25="",Q25="",R25="",S25="",T25=""),"请补全必填",IF(COUNTIF($B$5:$B$104,B25)&gt;1,"ID重复",IF(COUNTIF('珠子SKU'!$C$5:$C$104,C25)=0,"关联不存在",IF(OR(ISNA(MATCH(K25,'_枚举'!$H$2:$H$5,0)),ISNA(MATCH(M25,'_枚举'!$G$2:$G$3,0)),ISNA(MATCH(N25,'_枚举'!$A$2:$A$4,0)),ISNA(MATCH(O25,'_枚举'!$B$2:$B$5,0)),ISNA(MATCH(Q25,'_枚举'!$C$2:$C$3,0)),ISNA(MATCH(R25,'_枚举'!$C$2:$C$3,0)),ISNA(MATCH(S25,'_枚举'!$C$2:$C$3,0)),ISNA(MATCH(T25,'_枚举'!$I$2:$I$5,0))),"枚举错误",IF(OR(AND(F25&lt;&gt;"",NOT(ISNUMBER(F25))),AND(G25&lt;&gt;"",NOT(ISNUMBER(G25))),NOT(ISNUMBER(H25)),H25&lt;0,NOT(ISNUMBER(I25)),I25&lt;0,NOT(ISNUMBER(J25)),J25&lt;0,I25+J25&gt;H25,NOT(ISNUMBER(L25)),L25&lt;0),"格式错误",IF(AND(S25="TRUE",OR(Q25&lt;&gt;"TRUE",R25&lt;&gt;"TRUE",N25="UNKNOWN",T25&lt;&gt;"PASSED")),"待人工复核","可导入")))))))</f>
        <v/>
      </c>
      <c r="B25" s="125" t="n"/>
      <c r="C25" s="125" t="n"/>
      <c r="D25" s="125" t="n"/>
      <c r="E25" s="125" t="n"/>
      <c r="F25" s="135" t="n"/>
      <c r="G25" s="135" t="n"/>
      <c r="H25" s="127" t="n"/>
      <c r="I25" s="127" t="n"/>
      <c r="J25" s="127" t="n"/>
      <c r="K25" s="127" t="n"/>
      <c r="L25" s="127" t="n"/>
      <c r="M25" s="127" t="n"/>
      <c r="N25" s="125" t="n"/>
      <c r="O25" s="125" t="n"/>
      <c r="P25" s="125" t="n"/>
      <c r="Q25" s="127" t="n"/>
      <c r="R25" s="125" t="n"/>
      <c r="S25" s="125" t="n"/>
      <c r="T25" s="125" t="n"/>
      <c r="U25" s="125" t="n"/>
    </row>
    <row r="26">
      <c r="A26" s="118">
        <f>IF(COUNTA(B26:U26)=0,"待填写",IF(OR(B26="",C26="",NOT(ISNUMBER(H26)),NOT(ISNUMBER(I26)),NOT(ISNUMBER(J26)),K26="",NOT(ISNUMBER(L26)),M26="",N26="",O26="",Q26="",R26="",S26="",T26=""),"请补全必填",IF(COUNTIF($B$5:$B$104,B26)&gt;1,"ID重复",IF(COUNTIF('珠子SKU'!$C$5:$C$104,C26)=0,"关联不存在",IF(OR(ISNA(MATCH(K26,'_枚举'!$H$2:$H$5,0)),ISNA(MATCH(M26,'_枚举'!$G$2:$G$3,0)),ISNA(MATCH(N26,'_枚举'!$A$2:$A$4,0)),ISNA(MATCH(O26,'_枚举'!$B$2:$B$5,0)),ISNA(MATCH(Q26,'_枚举'!$C$2:$C$3,0)),ISNA(MATCH(R26,'_枚举'!$C$2:$C$3,0)),ISNA(MATCH(S26,'_枚举'!$C$2:$C$3,0)),ISNA(MATCH(T26,'_枚举'!$I$2:$I$5,0))),"枚举错误",IF(OR(AND(F26&lt;&gt;"",NOT(ISNUMBER(F26))),AND(G26&lt;&gt;"",NOT(ISNUMBER(G26))),NOT(ISNUMBER(H26)),H26&lt;0,NOT(ISNUMBER(I26)),I26&lt;0,NOT(ISNUMBER(J26)),J26&lt;0,I26+J26&gt;H26,NOT(ISNUMBER(L26)),L26&lt;0),"格式错误",IF(AND(S26="TRUE",OR(Q26&lt;&gt;"TRUE",R26&lt;&gt;"TRUE",N26="UNKNOWN",T26&lt;&gt;"PASSED")),"待人工复核","可导入")))))))</f>
        <v/>
      </c>
      <c r="B26" s="125" t="n"/>
      <c r="C26" s="125" t="n"/>
      <c r="D26" s="125" t="n"/>
      <c r="E26" s="125" t="n"/>
      <c r="F26" s="135" t="n"/>
      <c r="G26" s="135" t="n"/>
      <c r="H26" s="127" t="n"/>
      <c r="I26" s="127" t="n"/>
      <c r="J26" s="127" t="n"/>
      <c r="K26" s="127" t="n"/>
      <c r="L26" s="127" t="n"/>
      <c r="M26" s="127" t="n"/>
      <c r="N26" s="125" t="n"/>
      <c r="O26" s="125" t="n"/>
      <c r="P26" s="125" t="n"/>
      <c r="Q26" s="127" t="n"/>
      <c r="R26" s="125" t="n"/>
      <c r="S26" s="125" t="n"/>
      <c r="T26" s="125" t="n"/>
      <c r="U26" s="125" t="n"/>
    </row>
    <row r="27">
      <c r="A27" s="118">
        <f>IF(COUNTA(B27:U27)=0,"待填写",IF(OR(B27="",C27="",NOT(ISNUMBER(H27)),NOT(ISNUMBER(I27)),NOT(ISNUMBER(J27)),K27="",NOT(ISNUMBER(L27)),M27="",N27="",O27="",Q27="",R27="",S27="",T27=""),"请补全必填",IF(COUNTIF($B$5:$B$104,B27)&gt;1,"ID重复",IF(COUNTIF('珠子SKU'!$C$5:$C$104,C27)=0,"关联不存在",IF(OR(ISNA(MATCH(K27,'_枚举'!$H$2:$H$5,0)),ISNA(MATCH(M27,'_枚举'!$G$2:$G$3,0)),ISNA(MATCH(N27,'_枚举'!$A$2:$A$4,0)),ISNA(MATCH(O27,'_枚举'!$B$2:$B$5,0)),ISNA(MATCH(Q27,'_枚举'!$C$2:$C$3,0)),ISNA(MATCH(R27,'_枚举'!$C$2:$C$3,0)),ISNA(MATCH(S27,'_枚举'!$C$2:$C$3,0)),ISNA(MATCH(T27,'_枚举'!$I$2:$I$5,0))),"枚举错误",IF(OR(AND(F27&lt;&gt;"",NOT(ISNUMBER(F27))),AND(G27&lt;&gt;"",NOT(ISNUMBER(G27))),NOT(ISNUMBER(H27)),H27&lt;0,NOT(ISNUMBER(I27)),I27&lt;0,NOT(ISNUMBER(J27)),J27&lt;0,I27+J27&gt;H27,NOT(ISNUMBER(L27)),L27&lt;0),"格式错误",IF(AND(S27="TRUE",OR(Q27&lt;&gt;"TRUE",R27&lt;&gt;"TRUE",N27="UNKNOWN",T27&lt;&gt;"PASSED")),"待人工复核","可导入")))))))</f>
        <v/>
      </c>
      <c r="B27" s="125" t="n"/>
      <c r="C27" s="125" t="n"/>
      <c r="D27" s="125" t="n"/>
      <c r="E27" s="125" t="n"/>
      <c r="F27" s="135" t="n"/>
      <c r="G27" s="135" t="n"/>
      <c r="H27" s="127" t="n"/>
      <c r="I27" s="127" t="n"/>
      <c r="J27" s="127" t="n"/>
      <c r="K27" s="127" t="n"/>
      <c r="L27" s="127" t="n"/>
      <c r="M27" s="127" t="n"/>
      <c r="N27" s="125" t="n"/>
      <c r="O27" s="125" t="n"/>
      <c r="P27" s="125" t="n"/>
      <c r="Q27" s="127" t="n"/>
      <c r="R27" s="125" t="n"/>
      <c r="S27" s="125" t="n"/>
      <c r="T27" s="125" t="n"/>
      <c r="U27" s="125" t="n"/>
    </row>
    <row r="28">
      <c r="A28" s="118">
        <f>IF(COUNTA(B28:U28)=0,"待填写",IF(OR(B28="",C28="",NOT(ISNUMBER(H28)),NOT(ISNUMBER(I28)),NOT(ISNUMBER(J28)),K28="",NOT(ISNUMBER(L28)),M28="",N28="",O28="",Q28="",R28="",S28="",T28=""),"请补全必填",IF(COUNTIF($B$5:$B$104,B28)&gt;1,"ID重复",IF(COUNTIF('珠子SKU'!$C$5:$C$104,C28)=0,"关联不存在",IF(OR(ISNA(MATCH(K28,'_枚举'!$H$2:$H$5,0)),ISNA(MATCH(M28,'_枚举'!$G$2:$G$3,0)),ISNA(MATCH(N28,'_枚举'!$A$2:$A$4,0)),ISNA(MATCH(O28,'_枚举'!$B$2:$B$5,0)),ISNA(MATCH(Q28,'_枚举'!$C$2:$C$3,0)),ISNA(MATCH(R28,'_枚举'!$C$2:$C$3,0)),ISNA(MATCH(S28,'_枚举'!$C$2:$C$3,0)),ISNA(MATCH(T28,'_枚举'!$I$2:$I$5,0))),"枚举错误",IF(OR(AND(F28&lt;&gt;"",NOT(ISNUMBER(F28))),AND(G28&lt;&gt;"",NOT(ISNUMBER(G28))),NOT(ISNUMBER(H28)),H28&lt;0,NOT(ISNUMBER(I28)),I28&lt;0,NOT(ISNUMBER(J28)),J28&lt;0,I28+J28&gt;H28,NOT(ISNUMBER(L28)),L28&lt;0),"格式错误",IF(AND(S28="TRUE",OR(Q28&lt;&gt;"TRUE",R28&lt;&gt;"TRUE",N28="UNKNOWN",T28&lt;&gt;"PASSED")),"待人工复核","可导入")))))))</f>
        <v/>
      </c>
      <c r="B28" s="125" t="n"/>
      <c r="C28" s="125" t="n"/>
      <c r="D28" s="125" t="n"/>
      <c r="E28" s="125" t="n"/>
      <c r="F28" s="135" t="n"/>
      <c r="G28" s="135" t="n"/>
      <c r="H28" s="127" t="n"/>
      <c r="I28" s="127" t="n"/>
      <c r="J28" s="127" t="n"/>
      <c r="K28" s="127" t="n"/>
      <c r="L28" s="127" t="n"/>
      <c r="M28" s="127" t="n"/>
      <c r="N28" s="125" t="n"/>
      <c r="O28" s="125" t="n"/>
      <c r="P28" s="125" t="n"/>
      <c r="Q28" s="127" t="n"/>
      <c r="R28" s="125" t="n"/>
      <c r="S28" s="125" t="n"/>
      <c r="T28" s="125" t="n"/>
      <c r="U28" s="125" t="n"/>
    </row>
    <row r="29">
      <c r="A29" s="118">
        <f>IF(COUNTA(B29:U29)=0,"待填写",IF(OR(B29="",C29="",NOT(ISNUMBER(H29)),NOT(ISNUMBER(I29)),NOT(ISNUMBER(J29)),K29="",NOT(ISNUMBER(L29)),M29="",N29="",O29="",Q29="",R29="",S29="",T29=""),"请补全必填",IF(COUNTIF($B$5:$B$104,B29)&gt;1,"ID重复",IF(COUNTIF('珠子SKU'!$C$5:$C$104,C29)=0,"关联不存在",IF(OR(ISNA(MATCH(K29,'_枚举'!$H$2:$H$5,0)),ISNA(MATCH(M29,'_枚举'!$G$2:$G$3,0)),ISNA(MATCH(N29,'_枚举'!$A$2:$A$4,0)),ISNA(MATCH(O29,'_枚举'!$B$2:$B$5,0)),ISNA(MATCH(Q29,'_枚举'!$C$2:$C$3,0)),ISNA(MATCH(R29,'_枚举'!$C$2:$C$3,0)),ISNA(MATCH(S29,'_枚举'!$C$2:$C$3,0)),ISNA(MATCH(T29,'_枚举'!$I$2:$I$5,0))),"枚举错误",IF(OR(AND(F29&lt;&gt;"",NOT(ISNUMBER(F29))),AND(G29&lt;&gt;"",NOT(ISNUMBER(G29))),NOT(ISNUMBER(H29)),H29&lt;0,NOT(ISNUMBER(I29)),I29&lt;0,NOT(ISNUMBER(J29)),J29&lt;0,I29+J29&gt;H29,NOT(ISNUMBER(L29)),L29&lt;0),"格式错误",IF(AND(S29="TRUE",OR(Q29&lt;&gt;"TRUE",R29&lt;&gt;"TRUE",N29="UNKNOWN",T29&lt;&gt;"PASSED")),"待人工复核","可导入")))))))</f>
        <v/>
      </c>
      <c r="B29" s="125" t="n"/>
      <c r="C29" s="125" t="n"/>
      <c r="D29" s="125" t="n"/>
      <c r="E29" s="125" t="n"/>
      <c r="F29" s="135" t="n"/>
      <c r="G29" s="135" t="n"/>
      <c r="H29" s="127" t="n"/>
      <c r="I29" s="127" t="n"/>
      <c r="J29" s="127" t="n"/>
      <c r="K29" s="127" t="n"/>
      <c r="L29" s="127" t="n"/>
      <c r="M29" s="127" t="n"/>
      <c r="N29" s="125" t="n"/>
      <c r="O29" s="125" t="n"/>
      <c r="P29" s="125" t="n"/>
      <c r="Q29" s="127" t="n"/>
      <c r="R29" s="125" t="n"/>
      <c r="S29" s="125" t="n"/>
      <c r="T29" s="125" t="n"/>
      <c r="U29" s="125" t="n"/>
    </row>
    <row r="30">
      <c r="A30" s="118">
        <f>IF(COUNTA(B30:U30)=0,"待填写",IF(OR(B30="",C30="",NOT(ISNUMBER(H30)),NOT(ISNUMBER(I30)),NOT(ISNUMBER(J30)),K30="",NOT(ISNUMBER(L30)),M30="",N30="",O30="",Q30="",R30="",S30="",T30=""),"请补全必填",IF(COUNTIF($B$5:$B$104,B30)&gt;1,"ID重复",IF(COUNTIF('珠子SKU'!$C$5:$C$104,C30)=0,"关联不存在",IF(OR(ISNA(MATCH(K30,'_枚举'!$H$2:$H$5,0)),ISNA(MATCH(M30,'_枚举'!$G$2:$G$3,0)),ISNA(MATCH(N30,'_枚举'!$A$2:$A$4,0)),ISNA(MATCH(O30,'_枚举'!$B$2:$B$5,0)),ISNA(MATCH(Q30,'_枚举'!$C$2:$C$3,0)),ISNA(MATCH(R30,'_枚举'!$C$2:$C$3,0)),ISNA(MATCH(S30,'_枚举'!$C$2:$C$3,0)),ISNA(MATCH(T30,'_枚举'!$I$2:$I$5,0))),"枚举错误",IF(OR(AND(F30&lt;&gt;"",NOT(ISNUMBER(F30))),AND(G30&lt;&gt;"",NOT(ISNUMBER(G30))),NOT(ISNUMBER(H30)),H30&lt;0,NOT(ISNUMBER(I30)),I30&lt;0,NOT(ISNUMBER(J30)),J30&lt;0,I30+J30&gt;H30,NOT(ISNUMBER(L30)),L30&lt;0),"格式错误",IF(AND(S30="TRUE",OR(Q30&lt;&gt;"TRUE",R30&lt;&gt;"TRUE",N30="UNKNOWN",T30&lt;&gt;"PASSED")),"待人工复核","可导入")))))))</f>
        <v/>
      </c>
      <c r="B30" s="125" t="n"/>
      <c r="C30" s="125" t="n"/>
      <c r="D30" s="125" t="n"/>
      <c r="E30" s="125" t="n"/>
      <c r="F30" s="135" t="n"/>
      <c r="G30" s="135" t="n"/>
      <c r="H30" s="127" t="n"/>
      <c r="I30" s="127" t="n"/>
      <c r="J30" s="127" t="n"/>
      <c r="K30" s="127" t="n"/>
      <c r="L30" s="127" t="n"/>
      <c r="M30" s="127" t="n"/>
      <c r="N30" s="125" t="n"/>
      <c r="O30" s="125" t="n"/>
      <c r="P30" s="125" t="n"/>
      <c r="Q30" s="127" t="n"/>
      <c r="R30" s="125" t="n"/>
      <c r="S30" s="125" t="n"/>
      <c r="T30" s="125" t="n"/>
      <c r="U30" s="125" t="n"/>
    </row>
    <row r="31">
      <c r="A31" s="118">
        <f>IF(COUNTA(B31:U31)=0,"待填写",IF(OR(B31="",C31="",NOT(ISNUMBER(H31)),NOT(ISNUMBER(I31)),NOT(ISNUMBER(J31)),K31="",NOT(ISNUMBER(L31)),M31="",N31="",O31="",Q31="",R31="",S31="",T31=""),"请补全必填",IF(COUNTIF($B$5:$B$104,B31)&gt;1,"ID重复",IF(COUNTIF('珠子SKU'!$C$5:$C$104,C31)=0,"关联不存在",IF(OR(ISNA(MATCH(K31,'_枚举'!$H$2:$H$5,0)),ISNA(MATCH(M31,'_枚举'!$G$2:$G$3,0)),ISNA(MATCH(N31,'_枚举'!$A$2:$A$4,0)),ISNA(MATCH(O31,'_枚举'!$B$2:$B$5,0)),ISNA(MATCH(Q31,'_枚举'!$C$2:$C$3,0)),ISNA(MATCH(R31,'_枚举'!$C$2:$C$3,0)),ISNA(MATCH(S31,'_枚举'!$C$2:$C$3,0)),ISNA(MATCH(T31,'_枚举'!$I$2:$I$5,0))),"枚举错误",IF(OR(AND(F31&lt;&gt;"",NOT(ISNUMBER(F31))),AND(G31&lt;&gt;"",NOT(ISNUMBER(G31))),NOT(ISNUMBER(H31)),H31&lt;0,NOT(ISNUMBER(I31)),I31&lt;0,NOT(ISNUMBER(J31)),J31&lt;0,I31+J31&gt;H31,NOT(ISNUMBER(L31)),L31&lt;0),"格式错误",IF(AND(S31="TRUE",OR(Q31&lt;&gt;"TRUE",R31&lt;&gt;"TRUE",N31="UNKNOWN",T31&lt;&gt;"PASSED")),"待人工复核","可导入")))))))</f>
        <v/>
      </c>
      <c r="B31" s="125" t="n"/>
      <c r="C31" s="125" t="n"/>
      <c r="D31" s="125" t="n"/>
      <c r="E31" s="125" t="n"/>
      <c r="F31" s="135" t="n"/>
      <c r="G31" s="135" t="n"/>
      <c r="H31" s="127" t="n"/>
      <c r="I31" s="127" t="n"/>
      <c r="J31" s="127" t="n"/>
      <c r="K31" s="127" t="n"/>
      <c r="L31" s="127" t="n"/>
      <c r="M31" s="127" t="n"/>
      <c r="N31" s="125" t="n"/>
      <c r="O31" s="125" t="n"/>
      <c r="P31" s="125" t="n"/>
      <c r="Q31" s="127" t="n"/>
      <c r="R31" s="125" t="n"/>
      <c r="S31" s="125" t="n"/>
      <c r="T31" s="125" t="n"/>
      <c r="U31" s="125" t="n"/>
    </row>
    <row r="32">
      <c r="A32" s="118">
        <f>IF(COUNTA(B32:U32)=0,"待填写",IF(OR(B32="",C32="",NOT(ISNUMBER(H32)),NOT(ISNUMBER(I32)),NOT(ISNUMBER(J32)),K32="",NOT(ISNUMBER(L32)),M32="",N32="",O32="",Q32="",R32="",S32="",T32=""),"请补全必填",IF(COUNTIF($B$5:$B$104,B32)&gt;1,"ID重复",IF(COUNTIF('珠子SKU'!$C$5:$C$104,C32)=0,"关联不存在",IF(OR(ISNA(MATCH(K32,'_枚举'!$H$2:$H$5,0)),ISNA(MATCH(M32,'_枚举'!$G$2:$G$3,0)),ISNA(MATCH(N32,'_枚举'!$A$2:$A$4,0)),ISNA(MATCH(O32,'_枚举'!$B$2:$B$5,0)),ISNA(MATCH(Q32,'_枚举'!$C$2:$C$3,0)),ISNA(MATCH(R32,'_枚举'!$C$2:$C$3,0)),ISNA(MATCH(S32,'_枚举'!$C$2:$C$3,0)),ISNA(MATCH(T32,'_枚举'!$I$2:$I$5,0))),"枚举错误",IF(OR(AND(F32&lt;&gt;"",NOT(ISNUMBER(F32))),AND(G32&lt;&gt;"",NOT(ISNUMBER(G32))),NOT(ISNUMBER(H32)),H32&lt;0,NOT(ISNUMBER(I32)),I32&lt;0,NOT(ISNUMBER(J32)),J32&lt;0,I32+J32&gt;H32,NOT(ISNUMBER(L32)),L32&lt;0),"格式错误",IF(AND(S32="TRUE",OR(Q32&lt;&gt;"TRUE",R32&lt;&gt;"TRUE",N32="UNKNOWN",T32&lt;&gt;"PASSED")),"待人工复核","可导入")))))))</f>
        <v/>
      </c>
      <c r="B32" s="125" t="n"/>
      <c r="C32" s="125" t="n"/>
      <c r="D32" s="125" t="n"/>
      <c r="E32" s="125" t="n"/>
      <c r="F32" s="135" t="n"/>
      <c r="G32" s="135" t="n"/>
      <c r="H32" s="127" t="n"/>
      <c r="I32" s="127" t="n"/>
      <c r="J32" s="127" t="n"/>
      <c r="K32" s="127" t="n"/>
      <c r="L32" s="127" t="n"/>
      <c r="M32" s="127" t="n"/>
      <c r="N32" s="125" t="n"/>
      <c r="O32" s="125" t="n"/>
      <c r="P32" s="125" t="n"/>
      <c r="Q32" s="127" t="n"/>
      <c r="R32" s="125" t="n"/>
      <c r="S32" s="125" t="n"/>
      <c r="T32" s="125" t="n"/>
      <c r="U32" s="125" t="n"/>
    </row>
    <row r="33">
      <c r="A33" s="118">
        <f>IF(COUNTA(B33:U33)=0,"待填写",IF(OR(B33="",C33="",NOT(ISNUMBER(H33)),NOT(ISNUMBER(I33)),NOT(ISNUMBER(J33)),K33="",NOT(ISNUMBER(L33)),M33="",N33="",O33="",Q33="",R33="",S33="",T33=""),"请补全必填",IF(COUNTIF($B$5:$B$104,B33)&gt;1,"ID重复",IF(COUNTIF('珠子SKU'!$C$5:$C$104,C33)=0,"关联不存在",IF(OR(ISNA(MATCH(K33,'_枚举'!$H$2:$H$5,0)),ISNA(MATCH(M33,'_枚举'!$G$2:$G$3,0)),ISNA(MATCH(N33,'_枚举'!$A$2:$A$4,0)),ISNA(MATCH(O33,'_枚举'!$B$2:$B$5,0)),ISNA(MATCH(Q33,'_枚举'!$C$2:$C$3,0)),ISNA(MATCH(R33,'_枚举'!$C$2:$C$3,0)),ISNA(MATCH(S33,'_枚举'!$C$2:$C$3,0)),ISNA(MATCH(T33,'_枚举'!$I$2:$I$5,0))),"枚举错误",IF(OR(AND(F33&lt;&gt;"",NOT(ISNUMBER(F33))),AND(G33&lt;&gt;"",NOT(ISNUMBER(G33))),NOT(ISNUMBER(H33)),H33&lt;0,NOT(ISNUMBER(I33)),I33&lt;0,NOT(ISNUMBER(J33)),J33&lt;0,I33+J33&gt;H33,NOT(ISNUMBER(L33)),L33&lt;0),"格式错误",IF(AND(S33="TRUE",OR(Q33&lt;&gt;"TRUE",R33&lt;&gt;"TRUE",N33="UNKNOWN",T33&lt;&gt;"PASSED")),"待人工复核","可导入")))))))</f>
        <v/>
      </c>
      <c r="B33" s="125" t="n"/>
      <c r="C33" s="125" t="n"/>
      <c r="D33" s="125" t="n"/>
      <c r="E33" s="125" t="n"/>
      <c r="F33" s="135" t="n"/>
      <c r="G33" s="135" t="n"/>
      <c r="H33" s="127" t="n"/>
      <c r="I33" s="127" t="n"/>
      <c r="J33" s="127" t="n"/>
      <c r="K33" s="127" t="n"/>
      <c r="L33" s="127" t="n"/>
      <c r="M33" s="127" t="n"/>
      <c r="N33" s="125" t="n"/>
      <c r="O33" s="125" t="n"/>
      <c r="P33" s="125" t="n"/>
      <c r="Q33" s="127" t="n"/>
      <c r="R33" s="125" t="n"/>
      <c r="S33" s="125" t="n"/>
      <c r="T33" s="125" t="n"/>
      <c r="U33" s="125" t="n"/>
    </row>
    <row r="34">
      <c r="A34" s="118">
        <f>IF(COUNTA(B34:U34)=0,"待填写",IF(OR(B34="",C34="",NOT(ISNUMBER(H34)),NOT(ISNUMBER(I34)),NOT(ISNUMBER(J34)),K34="",NOT(ISNUMBER(L34)),M34="",N34="",O34="",Q34="",R34="",S34="",T34=""),"请补全必填",IF(COUNTIF($B$5:$B$104,B34)&gt;1,"ID重复",IF(COUNTIF('珠子SKU'!$C$5:$C$104,C34)=0,"关联不存在",IF(OR(ISNA(MATCH(K34,'_枚举'!$H$2:$H$5,0)),ISNA(MATCH(M34,'_枚举'!$G$2:$G$3,0)),ISNA(MATCH(N34,'_枚举'!$A$2:$A$4,0)),ISNA(MATCH(O34,'_枚举'!$B$2:$B$5,0)),ISNA(MATCH(Q34,'_枚举'!$C$2:$C$3,0)),ISNA(MATCH(R34,'_枚举'!$C$2:$C$3,0)),ISNA(MATCH(S34,'_枚举'!$C$2:$C$3,0)),ISNA(MATCH(T34,'_枚举'!$I$2:$I$5,0))),"枚举错误",IF(OR(AND(F34&lt;&gt;"",NOT(ISNUMBER(F34))),AND(G34&lt;&gt;"",NOT(ISNUMBER(G34))),NOT(ISNUMBER(H34)),H34&lt;0,NOT(ISNUMBER(I34)),I34&lt;0,NOT(ISNUMBER(J34)),J34&lt;0,I34+J34&gt;H34,NOT(ISNUMBER(L34)),L34&lt;0),"格式错误",IF(AND(S34="TRUE",OR(Q34&lt;&gt;"TRUE",R34&lt;&gt;"TRUE",N34="UNKNOWN",T34&lt;&gt;"PASSED")),"待人工复核","可导入")))))))</f>
        <v/>
      </c>
      <c r="B34" s="125" t="n"/>
      <c r="C34" s="125" t="n"/>
      <c r="D34" s="125" t="n"/>
      <c r="E34" s="125" t="n"/>
      <c r="F34" s="135" t="n"/>
      <c r="G34" s="135" t="n"/>
      <c r="H34" s="127" t="n"/>
      <c r="I34" s="127" t="n"/>
      <c r="J34" s="127" t="n"/>
      <c r="K34" s="127" t="n"/>
      <c r="L34" s="127" t="n"/>
      <c r="M34" s="127" t="n"/>
      <c r="N34" s="125" t="n"/>
      <c r="O34" s="125" t="n"/>
      <c r="P34" s="125" t="n"/>
      <c r="Q34" s="127" t="n"/>
      <c r="R34" s="125" t="n"/>
      <c r="S34" s="125" t="n"/>
      <c r="T34" s="125" t="n"/>
      <c r="U34" s="125" t="n"/>
    </row>
    <row r="35">
      <c r="A35" s="118">
        <f>IF(COUNTA(B35:U35)=0,"待填写",IF(OR(B35="",C35="",NOT(ISNUMBER(H35)),NOT(ISNUMBER(I35)),NOT(ISNUMBER(J35)),K35="",NOT(ISNUMBER(L35)),M35="",N35="",O35="",Q35="",R35="",S35="",T35=""),"请补全必填",IF(COUNTIF($B$5:$B$104,B35)&gt;1,"ID重复",IF(COUNTIF('珠子SKU'!$C$5:$C$104,C35)=0,"关联不存在",IF(OR(ISNA(MATCH(K35,'_枚举'!$H$2:$H$5,0)),ISNA(MATCH(M35,'_枚举'!$G$2:$G$3,0)),ISNA(MATCH(N35,'_枚举'!$A$2:$A$4,0)),ISNA(MATCH(O35,'_枚举'!$B$2:$B$5,0)),ISNA(MATCH(Q35,'_枚举'!$C$2:$C$3,0)),ISNA(MATCH(R35,'_枚举'!$C$2:$C$3,0)),ISNA(MATCH(S35,'_枚举'!$C$2:$C$3,0)),ISNA(MATCH(T35,'_枚举'!$I$2:$I$5,0))),"枚举错误",IF(OR(AND(F35&lt;&gt;"",NOT(ISNUMBER(F35))),AND(G35&lt;&gt;"",NOT(ISNUMBER(G35))),NOT(ISNUMBER(H35)),H35&lt;0,NOT(ISNUMBER(I35)),I35&lt;0,NOT(ISNUMBER(J35)),J35&lt;0,I35+J35&gt;H35,NOT(ISNUMBER(L35)),L35&lt;0),"格式错误",IF(AND(S35="TRUE",OR(Q35&lt;&gt;"TRUE",R35&lt;&gt;"TRUE",N35="UNKNOWN",T35&lt;&gt;"PASSED")),"待人工复核","可导入")))))))</f>
        <v/>
      </c>
      <c r="B35" s="125" t="n"/>
      <c r="C35" s="125" t="n"/>
      <c r="D35" s="125" t="n"/>
      <c r="E35" s="125" t="n"/>
      <c r="F35" s="135" t="n"/>
      <c r="G35" s="135" t="n"/>
      <c r="H35" s="127" t="n"/>
      <c r="I35" s="127" t="n"/>
      <c r="J35" s="127" t="n"/>
      <c r="K35" s="127" t="n"/>
      <c r="L35" s="127" t="n"/>
      <c r="M35" s="127" t="n"/>
      <c r="N35" s="125" t="n"/>
      <c r="O35" s="125" t="n"/>
      <c r="P35" s="125" t="n"/>
      <c r="Q35" s="127" t="n"/>
      <c r="R35" s="125" t="n"/>
      <c r="S35" s="125" t="n"/>
      <c r="T35" s="125" t="n"/>
      <c r="U35" s="125" t="n"/>
    </row>
    <row r="36">
      <c r="A36" s="118">
        <f>IF(COUNTA(B36:U36)=0,"待填写",IF(OR(B36="",C36="",NOT(ISNUMBER(H36)),NOT(ISNUMBER(I36)),NOT(ISNUMBER(J36)),K36="",NOT(ISNUMBER(L36)),M36="",N36="",O36="",Q36="",R36="",S36="",T36=""),"请补全必填",IF(COUNTIF($B$5:$B$104,B36)&gt;1,"ID重复",IF(COUNTIF('珠子SKU'!$C$5:$C$104,C36)=0,"关联不存在",IF(OR(ISNA(MATCH(K36,'_枚举'!$H$2:$H$5,0)),ISNA(MATCH(M36,'_枚举'!$G$2:$G$3,0)),ISNA(MATCH(N36,'_枚举'!$A$2:$A$4,0)),ISNA(MATCH(O36,'_枚举'!$B$2:$B$5,0)),ISNA(MATCH(Q36,'_枚举'!$C$2:$C$3,0)),ISNA(MATCH(R36,'_枚举'!$C$2:$C$3,0)),ISNA(MATCH(S36,'_枚举'!$C$2:$C$3,0)),ISNA(MATCH(T36,'_枚举'!$I$2:$I$5,0))),"枚举错误",IF(OR(AND(F36&lt;&gt;"",NOT(ISNUMBER(F36))),AND(G36&lt;&gt;"",NOT(ISNUMBER(G36))),NOT(ISNUMBER(H36)),H36&lt;0,NOT(ISNUMBER(I36)),I36&lt;0,NOT(ISNUMBER(J36)),J36&lt;0,I36+J36&gt;H36,NOT(ISNUMBER(L36)),L36&lt;0),"格式错误",IF(AND(S36="TRUE",OR(Q36&lt;&gt;"TRUE",R36&lt;&gt;"TRUE",N36="UNKNOWN",T36&lt;&gt;"PASSED")),"待人工复核","可导入")))))))</f>
        <v/>
      </c>
      <c r="B36" s="125" t="n"/>
      <c r="C36" s="125" t="n"/>
      <c r="D36" s="125" t="n"/>
      <c r="E36" s="125" t="n"/>
      <c r="F36" s="135" t="n"/>
      <c r="G36" s="135" t="n"/>
      <c r="H36" s="127" t="n"/>
      <c r="I36" s="127" t="n"/>
      <c r="J36" s="127" t="n"/>
      <c r="K36" s="127" t="n"/>
      <c r="L36" s="127" t="n"/>
      <c r="M36" s="127" t="n"/>
      <c r="N36" s="125" t="n"/>
      <c r="O36" s="125" t="n"/>
      <c r="P36" s="125" t="n"/>
      <c r="Q36" s="127" t="n"/>
      <c r="R36" s="125" t="n"/>
      <c r="S36" s="125" t="n"/>
      <c r="T36" s="125" t="n"/>
      <c r="U36" s="125" t="n"/>
    </row>
    <row r="37">
      <c r="A37" s="118">
        <f>IF(COUNTA(B37:U37)=0,"待填写",IF(OR(B37="",C37="",NOT(ISNUMBER(H37)),NOT(ISNUMBER(I37)),NOT(ISNUMBER(J37)),K37="",NOT(ISNUMBER(L37)),M37="",N37="",O37="",Q37="",R37="",S37="",T37=""),"请补全必填",IF(COUNTIF($B$5:$B$104,B37)&gt;1,"ID重复",IF(COUNTIF('珠子SKU'!$C$5:$C$104,C37)=0,"关联不存在",IF(OR(ISNA(MATCH(K37,'_枚举'!$H$2:$H$5,0)),ISNA(MATCH(M37,'_枚举'!$G$2:$G$3,0)),ISNA(MATCH(N37,'_枚举'!$A$2:$A$4,0)),ISNA(MATCH(O37,'_枚举'!$B$2:$B$5,0)),ISNA(MATCH(Q37,'_枚举'!$C$2:$C$3,0)),ISNA(MATCH(R37,'_枚举'!$C$2:$C$3,0)),ISNA(MATCH(S37,'_枚举'!$C$2:$C$3,0)),ISNA(MATCH(T37,'_枚举'!$I$2:$I$5,0))),"枚举错误",IF(OR(AND(F37&lt;&gt;"",NOT(ISNUMBER(F37))),AND(G37&lt;&gt;"",NOT(ISNUMBER(G37))),NOT(ISNUMBER(H37)),H37&lt;0,NOT(ISNUMBER(I37)),I37&lt;0,NOT(ISNUMBER(J37)),J37&lt;0,I37+J37&gt;H37,NOT(ISNUMBER(L37)),L37&lt;0),"格式错误",IF(AND(S37="TRUE",OR(Q37&lt;&gt;"TRUE",R37&lt;&gt;"TRUE",N37="UNKNOWN",T37&lt;&gt;"PASSED")),"待人工复核","可导入")))))))</f>
        <v/>
      </c>
      <c r="B37" s="125" t="n"/>
      <c r="C37" s="125" t="n"/>
      <c r="D37" s="125" t="n"/>
      <c r="E37" s="125" t="n"/>
      <c r="F37" s="135" t="n"/>
      <c r="G37" s="135" t="n"/>
      <c r="H37" s="127" t="n"/>
      <c r="I37" s="127" t="n"/>
      <c r="J37" s="127" t="n"/>
      <c r="K37" s="127" t="n"/>
      <c r="L37" s="127" t="n"/>
      <c r="M37" s="127" t="n"/>
      <c r="N37" s="125" t="n"/>
      <c r="O37" s="125" t="n"/>
      <c r="P37" s="125" t="n"/>
      <c r="Q37" s="127" t="n"/>
      <c r="R37" s="125" t="n"/>
      <c r="S37" s="125" t="n"/>
      <c r="T37" s="125" t="n"/>
      <c r="U37" s="125" t="n"/>
    </row>
    <row r="38">
      <c r="A38" s="118">
        <f>IF(COUNTA(B38:U38)=0,"待填写",IF(OR(B38="",C38="",NOT(ISNUMBER(H38)),NOT(ISNUMBER(I38)),NOT(ISNUMBER(J38)),K38="",NOT(ISNUMBER(L38)),M38="",N38="",O38="",Q38="",R38="",S38="",T38=""),"请补全必填",IF(COUNTIF($B$5:$B$104,B38)&gt;1,"ID重复",IF(COUNTIF('珠子SKU'!$C$5:$C$104,C38)=0,"关联不存在",IF(OR(ISNA(MATCH(K38,'_枚举'!$H$2:$H$5,0)),ISNA(MATCH(M38,'_枚举'!$G$2:$G$3,0)),ISNA(MATCH(N38,'_枚举'!$A$2:$A$4,0)),ISNA(MATCH(O38,'_枚举'!$B$2:$B$5,0)),ISNA(MATCH(Q38,'_枚举'!$C$2:$C$3,0)),ISNA(MATCH(R38,'_枚举'!$C$2:$C$3,0)),ISNA(MATCH(S38,'_枚举'!$C$2:$C$3,0)),ISNA(MATCH(T38,'_枚举'!$I$2:$I$5,0))),"枚举错误",IF(OR(AND(F38&lt;&gt;"",NOT(ISNUMBER(F38))),AND(G38&lt;&gt;"",NOT(ISNUMBER(G38))),NOT(ISNUMBER(H38)),H38&lt;0,NOT(ISNUMBER(I38)),I38&lt;0,NOT(ISNUMBER(J38)),J38&lt;0,I38+J38&gt;H38,NOT(ISNUMBER(L38)),L38&lt;0),"格式错误",IF(AND(S38="TRUE",OR(Q38&lt;&gt;"TRUE",R38&lt;&gt;"TRUE",N38="UNKNOWN",T38&lt;&gt;"PASSED")),"待人工复核","可导入")))))))</f>
        <v/>
      </c>
      <c r="B38" s="125" t="n"/>
      <c r="C38" s="125" t="n"/>
      <c r="D38" s="125" t="n"/>
      <c r="E38" s="125" t="n"/>
      <c r="F38" s="135" t="n"/>
      <c r="G38" s="135" t="n"/>
      <c r="H38" s="127" t="n"/>
      <c r="I38" s="127" t="n"/>
      <c r="J38" s="127" t="n"/>
      <c r="K38" s="127" t="n"/>
      <c r="L38" s="127" t="n"/>
      <c r="M38" s="127" t="n"/>
      <c r="N38" s="125" t="n"/>
      <c r="O38" s="125" t="n"/>
      <c r="P38" s="125" t="n"/>
      <c r="Q38" s="127" t="n"/>
      <c r="R38" s="125" t="n"/>
      <c r="S38" s="125" t="n"/>
      <c r="T38" s="125" t="n"/>
      <c r="U38" s="125" t="n"/>
    </row>
    <row r="39">
      <c r="A39" s="118">
        <f>IF(COUNTA(B39:U39)=0,"待填写",IF(OR(B39="",C39="",NOT(ISNUMBER(H39)),NOT(ISNUMBER(I39)),NOT(ISNUMBER(J39)),K39="",NOT(ISNUMBER(L39)),M39="",N39="",O39="",Q39="",R39="",S39="",T39=""),"请补全必填",IF(COUNTIF($B$5:$B$104,B39)&gt;1,"ID重复",IF(COUNTIF('珠子SKU'!$C$5:$C$104,C39)=0,"关联不存在",IF(OR(ISNA(MATCH(K39,'_枚举'!$H$2:$H$5,0)),ISNA(MATCH(M39,'_枚举'!$G$2:$G$3,0)),ISNA(MATCH(N39,'_枚举'!$A$2:$A$4,0)),ISNA(MATCH(O39,'_枚举'!$B$2:$B$5,0)),ISNA(MATCH(Q39,'_枚举'!$C$2:$C$3,0)),ISNA(MATCH(R39,'_枚举'!$C$2:$C$3,0)),ISNA(MATCH(S39,'_枚举'!$C$2:$C$3,0)),ISNA(MATCH(T39,'_枚举'!$I$2:$I$5,0))),"枚举错误",IF(OR(AND(F39&lt;&gt;"",NOT(ISNUMBER(F39))),AND(G39&lt;&gt;"",NOT(ISNUMBER(G39))),NOT(ISNUMBER(H39)),H39&lt;0,NOT(ISNUMBER(I39)),I39&lt;0,NOT(ISNUMBER(J39)),J39&lt;0,I39+J39&gt;H39,NOT(ISNUMBER(L39)),L39&lt;0),"格式错误",IF(AND(S39="TRUE",OR(Q39&lt;&gt;"TRUE",R39&lt;&gt;"TRUE",N39="UNKNOWN",T39&lt;&gt;"PASSED")),"待人工复核","可导入")))))))</f>
        <v/>
      </c>
      <c r="B39" s="125" t="n"/>
      <c r="C39" s="125" t="n"/>
      <c r="D39" s="125" t="n"/>
      <c r="E39" s="125" t="n"/>
      <c r="F39" s="135" t="n"/>
      <c r="G39" s="135" t="n"/>
      <c r="H39" s="127" t="n"/>
      <c r="I39" s="127" t="n"/>
      <c r="J39" s="127" t="n"/>
      <c r="K39" s="127" t="n"/>
      <c r="L39" s="127" t="n"/>
      <c r="M39" s="127" t="n"/>
      <c r="N39" s="125" t="n"/>
      <c r="O39" s="125" t="n"/>
      <c r="P39" s="125" t="n"/>
      <c r="Q39" s="127" t="n"/>
      <c r="R39" s="125" t="n"/>
      <c r="S39" s="125" t="n"/>
      <c r="T39" s="125" t="n"/>
      <c r="U39" s="125" t="n"/>
    </row>
    <row r="40">
      <c r="A40" s="118">
        <f>IF(COUNTA(B40:U40)=0,"待填写",IF(OR(B40="",C40="",NOT(ISNUMBER(H40)),NOT(ISNUMBER(I40)),NOT(ISNUMBER(J40)),K40="",NOT(ISNUMBER(L40)),M40="",N40="",O40="",Q40="",R40="",S40="",T40=""),"请补全必填",IF(COUNTIF($B$5:$B$104,B40)&gt;1,"ID重复",IF(COUNTIF('珠子SKU'!$C$5:$C$104,C40)=0,"关联不存在",IF(OR(ISNA(MATCH(K40,'_枚举'!$H$2:$H$5,0)),ISNA(MATCH(M40,'_枚举'!$G$2:$G$3,0)),ISNA(MATCH(N40,'_枚举'!$A$2:$A$4,0)),ISNA(MATCH(O40,'_枚举'!$B$2:$B$5,0)),ISNA(MATCH(Q40,'_枚举'!$C$2:$C$3,0)),ISNA(MATCH(R40,'_枚举'!$C$2:$C$3,0)),ISNA(MATCH(S40,'_枚举'!$C$2:$C$3,0)),ISNA(MATCH(T40,'_枚举'!$I$2:$I$5,0))),"枚举错误",IF(OR(AND(F40&lt;&gt;"",NOT(ISNUMBER(F40))),AND(G40&lt;&gt;"",NOT(ISNUMBER(G40))),NOT(ISNUMBER(H40)),H40&lt;0,NOT(ISNUMBER(I40)),I40&lt;0,NOT(ISNUMBER(J40)),J40&lt;0,I40+J40&gt;H40,NOT(ISNUMBER(L40)),L40&lt;0),"格式错误",IF(AND(S40="TRUE",OR(Q40&lt;&gt;"TRUE",R40&lt;&gt;"TRUE",N40="UNKNOWN",T40&lt;&gt;"PASSED")),"待人工复核","可导入")))))))</f>
        <v/>
      </c>
      <c r="B40" s="125" t="n"/>
      <c r="C40" s="125" t="n"/>
      <c r="D40" s="125" t="n"/>
      <c r="E40" s="125" t="n"/>
      <c r="F40" s="135" t="n"/>
      <c r="G40" s="135" t="n"/>
      <c r="H40" s="127" t="n"/>
      <c r="I40" s="127" t="n"/>
      <c r="J40" s="127" t="n"/>
      <c r="K40" s="127" t="n"/>
      <c r="L40" s="127" t="n"/>
      <c r="M40" s="127" t="n"/>
      <c r="N40" s="125" t="n"/>
      <c r="O40" s="125" t="n"/>
      <c r="P40" s="125" t="n"/>
      <c r="Q40" s="127" t="n"/>
      <c r="R40" s="125" t="n"/>
      <c r="S40" s="125" t="n"/>
      <c r="T40" s="125" t="n"/>
      <c r="U40" s="125" t="n"/>
    </row>
    <row r="41">
      <c r="A41" s="118">
        <f>IF(COUNTA(B41:U41)=0,"待填写",IF(OR(B41="",C41="",NOT(ISNUMBER(H41)),NOT(ISNUMBER(I41)),NOT(ISNUMBER(J41)),K41="",NOT(ISNUMBER(L41)),M41="",N41="",O41="",Q41="",R41="",S41="",T41=""),"请补全必填",IF(COUNTIF($B$5:$B$104,B41)&gt;1,"ID重复",IF(COUNTIF('珠子SKU'!$C$5:$C$104,C41)=0,"关联不存在",IF(OR(ISNA(MATCH(K41,'_枚举'!$H$2:$H$5,0)),ISNA(MATCH(M41,'_枚举'!$G$2:$G$3,0)),ISNA(MATCH(N41,'_枚举'!$A$2:$A$4,0)),ISNA(MATCH(O41,'_枚举'!$B$2:$B$5,0)),ISNA(MATCH(Q41,'_枚举'!$C$2:$C$3,0)),ISNA(MATCH(R41,'_枚举'!$C$2:$C$3,0)),ISNA(MATCH(S41,'_枚举'!$C$2:$C$3,0)),ISNA(MATCH(T41,'_枚举'!$I$2:$I$5,0))),"枚举错误",IF(OR(AND(F41&lt;&gt;"",NOT(ISNUMBER(F41))),AND(G41&lt;&gt;"",NOT(ISNUMBER(G41))),NOT(ISNUMBER(H41)),H41&lt;0,NOT(ISNUMBER(I41)),I41&lt;0,NOT(ISNUMBER(J41)),J41&lt;0,I41+J41&gt;H41,NOT(ISNUMBER(L41)),L41&lt;0),"格式错误",IF(AND(S41="TRUE",OR(Q41&lt;&gt;"TRUE",R41&lt;&gt;"TRUE",N41="UNKNOWN",T41&lt;&gt;"PASSED")),"待人工复核","可导入")))))))</f>
        <v/>
      </c>
      <c r="B41" s="125" t="n"/>
      <c r="C41" s="125" t="n"/>
      <c r="D41" s="125" t="n"/>
      <c r="E41" s="125" t="n"/>
      <c r="F41" s="135" t="n"/>
      <c r="G41" s="135" t="n"/>
      <c r="H41" s="127" t="n"/>
      <c r="I41" s="127" t="n"/>
      <c r="J41" s="127" t="n"/>
      <c r="K41" s="127" t="n"/>
      <c r="L41" s="127" t="n"/>
      <c r="M41" s="127" t="n"/>
      <c r="N41" s="125" t="n"/>
      <c r="O41" s="125" t="n"/>
      <c r="P41" s="125" t="n"/>
      <c r="Q41" s="127" t="n"/>
      <c r="R41" s="125" t="n"/>
      <c r="S41" s="125" t="n"/>
      <c r="T41" s="125" t="n"/>
      <c r="U41" s="125" t="n"/>
    </row>
    <row r="42">
      <c r="A42" s="118">
        <f>IF(COUNTA(B42:U42)=0,"待填写",IF(OR(B42="",C42="",NOT(ISNUMBER(H42)),NOT(ISNUMBER(I42)),NOT(ISNUMBER(J42)),K42="",NOT(ISNUMBER(L42)),M42="",N42="",O42="",Q42="",R42="",S42="",T42=""),"请补全必填",IF(COUNTIF($B$5:$B$104,B42)&gt;1,"ID重复",IF(COUNTIF('珠子SKU'!$C$5:$C$104,C42)=0,"关联不存在",IF(OR(ISNA(MATCH(K42,'_枚举'!$H$2:$H$5,0)),ISNA(MATCH(M42,'_枚举'!$G$2:$G$3,0)),ISNA(MATCH(N42,'_枚举'!$A$2:$A$4,0)),ISNA(MATCH(O42,'_枚举'!$B$2:$B$5,0)),ISNA(MATCH(Q42,'_枚举'!$C$2:$C$3,0)),ISNA(MATCH(R42,'_枚举'!$C$2:$C$3,0)),ISNA(MATCH(S42,'_枚举'!$C$2:$C$3,0)),ISNA(MATCH(T42,'_枚举'!$I$2:$I$5,0))),"枚举错误",IF(OR(AND(F42&lt;&gt;"",NOT(ISNUMBER(F42))),AND(G42&lt;&gt;"",NOT(ISNUMBER(G42))),NOT(ISNUMBER(H42)),H42&lt;0,NOT(ISNUMBER(I42)),I42&lt;0,NOT(ISNUMBER(J42)),J42&lt;0,I42+J42&gt;H42,NOT(ISNUMBER(L42)),L42&lt;0),"格式错误",IF(AND(S42="TRUE",OR(Q42&lt;&gt;"TRUE",R42&lt;&gt;"TRUE",N42="UNKNOWN",T42&lt;&gt;"PASSED")),"待人工复核","可导入")))))))</f>
        <v/>
      </c>
      <c r="B42" s="125" t="n"/>
      <c r="C42" s="125" t="n"/>
      <c r="D42" s="125" t="n"/>
      <c r="E42" s="125" t="n"/>
      <c r="F42" s="135" t="n"/>
      <c r="G42" s="135" t="n"/>
      <c r="H42" s="127" t="n"/>
      <c r="I42" s="127" t="n"/>
      <c r="J42" s="127" t="n"/>
      <c r="K42" s="127" t="n"/>
      <c r="L42" s="127" t="n"/>
      <c r="M42" s="127" t="n"/>
      <c r="N42" s="125" t="n"/>
      <c r="O42" s="125" t="n"/>
      <c r="P42" s="125" t="n"/>
      <c r="Q42" s="127" t="n"/>
      <c r="R42" s="125" t="n"/>
      <c r="S42" s="125" t="n"/>
      <c r="T42" s="125" t="n"/>
      <c r="U42" s="125" t="n"/>
    </row>
    <row r="43">
      <c r="A43" s="118">
        <f>IF(COUNTA(B43:U43)=0,"待填写",IF(OR(B43="",C43="",NOT(ISNUMBER(H43)),NOT(ISNUMBER(I43)),NOT(ISNUMBER(J43)),K43="",NOT(ISNUMBER(L43)),M43="",N43="",O43="",Q43="",R43="",S43="",T43=""),"请补全必填",IF(COUNTIF($B$5:$B$104,B43)&gt;1,"ID重复",IF(COUNTIF('珠子SKU'!$C$5:$C$104,C43)=0,"关联不存在",IF(OR(ISNA(MATCH(K43,'_枚举'!$H$2:$H$5,0)),ISNA(MATCH(M43,'_枚举'!$G$2:$G$3,0)),ISNA(MATCH(N43,'_枚举'!$A$2:$A$4,0)),ISNA(MATCH(O43,'_枚举'!$B$2:$B$5,0)),ISNA(MATCH(Q43,'_枚举'!$C$2:$C$3,0)),ISNA(MATCH(R43,'_枚举'!$C$2:$C$3,0)),ISNA(MATCH(S43,'_枚举'!$C$2:$C$3,0)),ISNA(MATCH(T43,'_枚举'!$I$2:$I$5,0))),"枚举错误",IF(OR(AND(F43&lt;&gt;"",NOT(ISNUMBER(F43))),AND(G43&lt;&gt;"",NOT(ISNUMBER(G43))),NOT(ISNUMBER(H43)),H43&lt;0,NOT(ISNUMBER(I43)),I43&lt;0,NOT(ISNUMBER(J43)),J43&lt;0,I43+J43&gt;H43,NOT(ISNUMBER(L43)),L43&lt;0),"格式错误",IF(AND(S43="TRUE",OR(Q43&lt;&gt;"TRUE",R43&lt;&gt;"TRUE",N43="UNKNOWN",T43&lt;&gt;"PASSED")),"待人工复核","可导入")))))))</f>
        <v/>
      </c>
      <c r="B43" s="125" t="n"/>
      <c r="C43" s="125" t="n"/>
      <c r="D43" s="125" t="n"/>
      <c r="E43" s="125" t="n"/>
      <c r="F43" s="135" t="n"/>
      <c r="G43" s="135" t="n"/>
      <c r="H43" s="127" t="n"/>
      <c r="I43" s="127" t="n"/>
      <c r="J43" s="127" t="n"/>
      <c r="K43" s="127" t="n"/>
      <c r="L43" s="127" t="n"/>
      <c r="M43" s="127" t="n"/>
      <c r="N43" s="125" t="n"/>
      <c r="O43" s="125" t="n"/>
      <c r="P43" s="125" t="n"/>
      <c r="Q43" s="127" t="n"/>
      <c r="R43" s="125" t="n"/>
      <c r="S43" s="125" t="n"/>
      <c r="T43" s="125" t="n"/>
      <c r="U43" s="125" t="n"/>
    </row>
    <row r="44">
      <c r="A44" s="118">
        <f>IF(COUNTA(B44:U44)=0,"待填写",IF(OR(B44="",C44="",NOT(ISNUMBER(H44)),NOT(ISNUMBER(I44)),NOT(ISNUMBER(J44)),K44="",NOT(ISNUMBER(L44)),M44="",N44="",O44="",Q44="",R44="",S44="",T44=""),"请补全必填",IF(COUNTIF($B$5:$B$104,B44)&gt;1,"ID重复",IF(COUNTIF('珠子SKU'!$C$5:$C$104,C44)=0,"关联不存在",IF(OR(ISNA(MATCH(K44,'_枚举'!$H$2:$H$5,0)),ISNA(MATCH(M44,'_枚举'!$G$2:$G$3,0)),ISNA(MATCH(N44,'_枚举'!$A$2:$A$4,0)),ISNA(MATCH(O44,'_枚举'!$B$2:$B$5,0)),ISNA(MATCH(Q44,'_枚举'!$C$2:$C$3,0)),ISNA(MATCH(R44,'_枚举'!$C$2:$C$3,0)),ISNA(MATCH(S44,'_枚举'!$C$2:$C$3,0)),ISNA(MATCH(T44,'_枚举'!$I$2:$I$5,0))),"枚举错误",IF(OR(AND(F44&lt;&gt;"",NOT(ISNUMBER(F44))),AND(G44&lt;&gt;"",NOT(ISNUMBER(G44))),NOT(ISNUMBER(H44)),H44&lt;0,NOT(ISNUMBER(I44)),I44&lt;0,NOT(ISNUMBER(J44)),J44&lt;0,I44+J44&gt;H44,NOT(ISNUMBER(L44)),L44&lt;0),"格式错误",IF(AND(S44="TRUE",OR(Q44&lt;&gt;"TRUE",R44&lt;&gt;"TRUE",N44="UNKNOWN",T44&lt;&gt;"PASSED")),"待人工复核","可导入")))))))</f>
        <v/>
      </c>
      <c r="B44" s="125" t="n"/>
      <c r="C44" s="125" t="n"/>
      <c r="D44" s="125" t="n"/>
      <c r="E44" s="125" t="n"/>
      <c r="F44" s="135" t="n"/>
      <c r="G44" s="135" t="n"/>
      <c r="H44" s="127" t="n"/>
      <c r="I44" s="127" t="n"/>
      <c r="J44" s="127" t="n"/>
      <c r="K44" s="127" t="n"/>
      <c r="L44" s="127" t="n"/>
      <c r="M44" s="127" t="n"/>
      <c r="N44" s="125" t="n"/>
      <c r="O44" s="125" t="n"/>
      <c r="P44" s="125" t="n"/>
      <c r="Q44" s="127" t="n"/>
      <c r="R44" s="125" t="n"/>
      <c r="S44" s="125" t="n"/>
      <c r="T44" s="125" t="n"/>
      <c r="U44" s="125" t="n"/>
    </row>
    <row r="45">
      <c r="A45" s="118">
        <f>IF(COUNTA(B45:U45)=0,"待填写",IF(OR(B45="",C45="",NOT(ISNUMBER(H45)),NOT(ISNUMBER(I45)),NOT(ISNUMBER(J45)),K45="",NOT(ISNUMBER(L45)),M45="",N45="",O45="",Q45="",R45="",S45="",T45=""),"请补全必填",IF(COUNTIF($B$5:$B$104,B45)&gt;1,"ID重复",IF(COUNTIF('珠子SKU'!$C$5:$C$104,C45)=0,"关联不存在",IF(OR(ISNA(MATCH(K45,'_枚举'!$H$2:$H$5,0)),ISNA(MATCH(M45,'_枚举'!$G$2:$G$3,0)),ISNA(MATCH(N45,'_枚举'!$A$2:$A$4,0)),ISNA(MATCH(O45,'_枚举'!$B$2:$B$5,0)),ISNA(MATCH(Q45,'_枚举'!$C$2:$C$3,0)),ISNA(MATCH(R45,'_枚举'!$C$2:$C$3,0)),ISNA(MATCH(S45,'_枚举'!$C$2:$C$3,0)),ISNA(MATCH(T45,'_枚举'!$I$2:$I$5,0))),"枚举错误",IF(OR(AND(F45&lt;&gt;"",NOT(ISNUMBER(F45))),AND(G45&lt;&gt;"",NOT(ISNUMBER(G45))),NOT(ISNUMBER(H45)),H45&lt;0,NOT(ISNUMBER(I45)),I45&lt;0,NOT(ISNUMBER(J45)),J45&lt;0,I45+J45&gt;H45,NOT(ISNUMBER(L45)),L45&lt;0),"格式错误",IF(AND(S45="TRUE",OR(Q45&lt;&gt;"TRUE",R45&lt;&gt;"TRUE",N45="UNKNOWN",T45&lt;&gt;"PASSED")),"待人工复核","可导入")))))))</f>
        <v/>
      </c>
      <c r="B45" s="125" t="n"/>
      <c r="C45" s="125" t="n"/>
      <c r="D45" s="125" t="n"/>
      <c r="E45" s="125" t="n"/>
      <c r="F45" s="135" t="n"/>
      <c r="G45" s="135" t="n"/>
      <c r="H45" s="127" t="n"/>
      <c r="I45" s="127" t="n"/>
      <c r="J45" s="127" t="n"/>
      <c r="K45" s="127" t="n"/>
      <c r="L45" s="127" t="n"/>
      <c r="M45" s="127" t="n"/>
      <c r="N45" s="125" t="n"/>
      <c r="O45" s="125" t="n"/>
      <c r="P45" s="125" t="n"/>
      <c r="Q45" s="127" t="n"/>
      <c r="R45" s="125" t="n"/>
      <c r="S45" s="125" t="n"/>
      <c r="T45" s="125" t="n"/>
      <c r="U45" s="125" t="n"/>
    </row>
    <row r="46">
      <c r="A46" s="118">
        <f>IF(COUNTA(B46:U46)=0,"待填写",IF(OR(B46="",C46="",NOT(ISNUMBER(H46)),NOT(ISNUMBER(I46)),NOT(ISNUMBER(J46)),K46="",NOT(ISNUMBER(L46)),M46="",N46="",O46="",Q46="",R46="",S46="",T46=""),"请补全必填",IF(COUNTIF($B$5:$B$104,B46)&gt;1,"ID重复",IF(COUNTIF('珠子SKU'!$C$5:$C$104,C46)=0,"关联不存在",IF(OR(ISNA(MATCH(K46,'_枚举'!$H$2:$H$5,0)),ISNA(MATCH(M46,'_枚举'!$G$2:$G$3,0)),ISNA(MATCH(N46,'_枚举'!$A$2:$A$4,0)),ISNA(MATCH(O46,'_枚举'!$B$2:$B$5,0)),ISNA(MATCH(Q46,'_枚举'!$C$2:$C$3,0)),ISNA(MATCH(R46,'_枚举'!$C$2:$C$3,0)),ISNA(MATCH(S46,'_枚举'!$C$2:$C$3,0)),ISNA(MATCH(T46,'_枚举'!$I$2:$I$5,0))),"枚举错误",IF(OR(AND(F46&lt;&gt;"",NOT(ISNUMBER(F46))),AND(G46&lt;&gt;"",NOT(ISNUMBER(G46))),NOT(ISNUMBER(H46)),H46&lt;0,NOT(ISNUMBER(I46)),I46&lt;0,NOT(ISNUMBER(J46)),J46&lt;0,I46+J46&gt;H46,NOT(ISNUMBER(L46)),L46&lt;0),"格式错误",IF(AND(S46="TRUE",OR(Q46&lt;&gt;"TRUE",R46&lt;&gt;"TRUE",N46="UNKNOWN",T46&lt;&gt;"PASSED")),"待人工复核","可导入")))))))</f>
        <v/>
      </c>
      <c r="B46" s="125" t="n"/>
      <c r="C46" s="125" t="n"/>
      <c r="D46" s="125" t="n"/>
      <c r="E46" s="125" t="n"/>
      <c r="F46" s="135" t="n"/>
      <c r="G46" s="135" t="n"/>
      <c r="H46" s="127" t="n"/>
      <c r="I46" s="127" t="n"/>
      <c r="J46" s="127" t="n"/>
      <c r="K46" s="127" t="n"/>
      <c r="L46" s="127" t="n"/>
      <c r="M46" s="127" t="n"/>
      <c r="N46" s="125" t="n"/>
      <c r="O46" s="125" t="n"/>
      <c r="P46" s="125" t="n"/>
      <c r="Q46" s="127" t="n"/>
      <c r="R46" s="125" t="n"/>
      <c r="S46" s="125" t="n"/>
      <c r="T46" s="125" t="n"/>
      <c r="U46" s="125" t="n"/>
    </row>
    <row r="47">
      <c r="A47" s="118">
        <f>IF(COUNTA(B47:U47)=0,"待填写",IF(OR(B47="",C47="",NOT(ISNUMBER(H47)),NOT(ISNUMBER(I47)),NOT(ISNUMBER(J47)),K47="",NOT(ISNUMBER(L47)),M47="",N47="",O47="",Q47="",R47="",S47="",T47=""),"请补全必填",IF(COUNTIF($B$5:$B$104,B47)&gt;1,"ID重复",IF(COUNTIF('珠子SKU'!$C$5:$C$104,C47)=0,"关联不存在",IF(OR(ISNA(MATCH(K47,'_枚举'!$H$2:$H$5,0)),ISNA(MATCH(M47,'_枚举'!$G$2:$G$3,0)),ISNA(MATCH(N47,'_枚举'!$A$2:$A$4,0)),ISNA(MATCH(O47,'_枚举'!$B$2:$B$5,0)),ISNA(MATCH(Q47,'_枚举'!$C$2:$C$3,0)),ISNA(MATCH(R47,'_枚举'!$C$2:$C$3,0)),ISNA(MATCH(S47,'_枚举'!$C$2:$C$3,0)),ISNA(MATCH(T47,'_枚举'!$I$2:$I$5,0))),"枚举错误",IF(OR(AND(F47&lt;&gt;"",NOT(ISNUMBER(F47))),AND(G47&lt;&gt;"",NOT(ISNUMBER(G47))),NOT(ISNUMBER(H47)),H47&lt;0,NOT(ISNUMBER(I47)),I47&lt;0,NOT(ISNUMBER(J47)),J47&lt;0,I47+J47&gt;H47,NOT(ISNUMBER(L47)),L47&lt;0),"格式错误",IF(AND(S47="TRUE",OR(Q47&lt;&gt;"TRUE",R47&lt;&gt;"TRUE",N47="UNKNOWN",T47&lt;&gt;"PASSED")),"待人工复核","可导入")))))))</f>
        <v/>
      </c>
      <c r="B47" s="125" t="n"/>
      <c r="C47" s="125" t="n"/>
      <c r="D47" s="125" t="n"/>
      <c r="E47" s="125" t="n"/>
      <c r="F47" s="135" t="n"/>
      <c r="G47" s="135" t="n"/>
      <c r="H47" s="127" t="n"/>
      <c r="I47" s="127" t="n"/>
      <c r="J47" s="127" t="n"/>
      <c r="K47" s="127" t="n"/>
      <c r="L47" s="127" t="n"/>
      <c r="M47" s="127" t="n"/>
      <c r="N47" s="125" t="n"/>
      <c r="O47" s="125" t="n"/>
      <c r="P47" s="125" t="n"/>
      <c r="Q47" s="127" t="n"/>
      <c r="R47" s="125" t="n"/>
      <c r="S47" s="125" t="n"/>
      <c r="T47" s="125" t="n"/>
      <c r="U47" s="125" t="n"/>
    </row>
    <row r="48">
      <c r="A48" s="118">
        <f>IF(COUNTA(B48:U48)=0,"待填写",IF(OR(B48="",C48="",NOT(ISNUMBER(H48)),NOT(ISNUMBER(I48)),NOT(ISNUMBER(J48)),K48="",NOT(ISNUMBER(L48)),M48="",N48="",O48="",Q48="",R48="",S48="",T48=""),"请补全必填",IF(COUNTIF($B$5:$B$104,B48)&gt;1,"ID重复",IF(COUNTIF('珠子SKU'!$C$5:$C$104,C48)=0,"关联不存在",IF(OR(ISNA(MATCH(K48,'_枚举'!$H$2:$H$5,0)),ISNA(MATCH(M48,'_枚举'!$G$2:$G$3,0)),ISNA(MATCH(N48,'_枚举'!$A$2:$A$4,0)),ISNA(MATCH(O48,'_枚举'!$B$2:$B$5,0)),ISNA(MATCH(Q48,'_枚举'!$C$2:$C$3,0)),ISNA(MATCH(R48,'_枚举'!$C$2:$C$3,0)),ISNA(MATCH(S48,'_枚举'!$C$2:$C$3,0)),ISNA(MATCH(T48,'_枚举'!$I$2:$I$5,0))),"枚举错误",IF(OR(AND(F48&lt;&gt;"",NOT(ISNUMBER(F48))),AND(G48&lt;&gt;"",NOT(ISNUMBER(G48))),NOT(ISNUMBER(H48)),H48&lt;0,NOT(ISNUMBER(I48)),I48&lt;0,NOT(ISNUMBER(J48)),J48&lt;0,I48+J48&gt;H48,NOT(ISNUMBER(L48)),L48&lt;0),"格式错误",IF(AND(S48="TRUE",OR(Q48&lt;&gt;"TRUE",R48&lt;&gt;"TRUE",N48="UNKNOWN",T48&lt;&gt;"PASSED")),"待人工复核","可导入")))))))</f>
        <v/>
      </c>
      <c r="B48" s="125" t="n"/>
      <c r="C48" s="125" t="n"/>
      <c r="D48" s="125" t="n"/>
      <c r="E48" s="125" t="n"/>
      <c r="F48" s="135" t="n"/>
      <c r="G48" s="135" t="n"/>
      <c r="H48" s="127" t="n"/>
      <c r="I48" s="127" t="n"/>
      <c r="J48" s="127" t="n"/>
      <c r="K48" s="127" t="n"/>
      <c r="L48" s="127" t="n"/>
      <c r="M48" s="127" t="n"/>
      <c r="N48" s="125" t="n"/>
      <c r="O48" s="125" t="n"/>
      <c r="P48" s="125" t="n"/>
      <c r="Q48" s="127" t="n"/>
      <c r="R48" s="125" t="n"/>
      <c r="S48" s="125" t="n"/>
      <c r="T48" s="125" t="n"/>
      <c r="U48" s="125" t="n"/>
    </row>
    <row r="49">
      <c r="A49" s="118">
        <f>IF(COUNTA(B49:U49)=0,"待填写",IF(OR(B49="",C49="",NOT(ISNUMBER(H49)),NOT(ISNUMBER(I49)),NOT(ISNUMBER(J49)),K49="",NOT(ISNUMBER(L49)),M49="",N49="",O49="",Q49="",R49="",S49="",T49=""),"请补全必填",IF(COUNTIF($B$5:$B$104,B49)&gt;1,"ID重复",IF(COUNTIF('珠子SKU'!$C$5:$C$104,C49)=0,"关联不存在",IF(OR(ISNA(MATCH(K49,'_枚举'!$H$2:$H$5,0)),ISNA(MATCH(M49,'_枚举'!$G$2:$G$3,0)),ISNA(MATCH(N49,'_枚举'!$A$2:$A$4,0)),ISNA(MATCH(O49,'_枚举'!$B$2:$B$5,0)),ISNA(MATCH(Q49,'_枚举'!$C$2:$C$3,0)),ISNA(MATCH(R49,'_枚举'!$C$2:$C$3,0)),ISNA(MATCH(S49,'_枚举'!$C$2:$C$3,0)),ISNA(MATCH(T49,'_枚举'!$I$2:$I$5,0))),"枚举错误",IF(OR(AND(F49&lt;&gt;"",NOT(ISNUMBER(F49))),AND(G49&lt;&gt;"",NOT(ISNUMBER(G49))),NOT(ISNUMBER(H49)),H49&lt;0,NOT(ISNUMBER(I49)),I49&lt;0,NOT(ISNUMBER(J49)),J49&lt;0,I49+J49&gt;H49,NOT(ISNUMBER(L49)),L49&lt;0),"格式错误",IF(AND(S49="TRUE",OR(Q49&lt;&gt;"TRUE",R49&lt;&gt;"TRUE",N49="UNKNOWN",T49&lt;&gt;"PASSED")),"待人工复核","可导入")))))))</f>
        <v/>
      </c>
      <c r="B49" s="125" t="n"/>
      <c r="C49" s="125" t="n"/>
      <c r="D49" s="125" t="n"/>
      <c r="E49" s="125" t="n"/>
      <c r="F49" s="135" t="n"/>
      <c r="G49" s="135" t="n"/>
      <c r="H49" s="127" t="n"/>
      <c r="I49" s="127" t="n"/>
      <c r="J49" s="127" t="n"/>
      <c r="K49" s="127" t="n"/>
      <c r="L49" s="127" t="n"/>
      <c r="M49" s="127" t="n"/>
      <c r="N49" s="125" t="n"/>
      <c r="O49" s="125" t="n"/>
      <c r="P49" s="125" t="n"/>
      <c r="Q49" s="127" t="n"/>
      <c r="R49" s="125" t="n"/>
      <c r="S49" s="125" t="n"/>
      <c r="T49" s="125" t="n"/>
      <c r="U49" s="125" t="n"/>
    </row>
    <row r="50">
      <c r="A50" s="118">
        <f>IF(COUNTA(B50:U50)=0,"待填写",IF(OR(B50="",C50="",NOT(ISNUMBER(H50)),NOT(ISNUMBER(I50)),NOT(ISNUMBER(J50)),K50="",NOT(ISNUMBER(L50)),M50="",N50="",O50="",Q50="",R50="",S50="",T50=""),"请补全必填",IF(COUNTIF($B$5:$B$104,B50)&gt;1,"ID重复",IF(COUNTIF('珠子SKU'!$C$5:$C$104,C50)=0,"关联不存在",IF(OR(ISNA(MATCH(K50,'_枚举'!$H$2:$H$5,0)),ISNA(MATCH(M50,'_枚举'!$G$2:$G$3,0)),ISNA(MATCH(N50,'_枚举'!$A$2:$A$4,0)),ISNA(MATCH(O50,'_枚举'!$B$2:$B$5,0)),ISNA(MATCH(Q50,'_枚举'!$C$2:$C$3,0)),ISNA(MATCH(R50,'_枚举'!$C$2:$C$3,0)),ISNA(MATCH(S50,'_枚举'!$C$2:$C$3,0)),ISNA(MATCH(T50,'_枚举'!$I$2:$I$5,0))),"枚举错误",IF(OR(AND(F50&lt;&gt;"",NOT(ISNUMBER(F50))),AND(G50&lt;&gt;"",NOT(ISNUMBER(G50))),NOT(ISNUMBER(H50)),H50&lt;0,NOT(ISNUMBER(I50)),I50&lt;0,NOT(ISNUMBER(J50)),J50&lt;0,I50+J50&gt;H50,NOT(ISNUMBER(L50)),L50&lt;0),"格式错误",IF(AND(S50="TRUE",OR(Q50&lt;&gt;"TRUE",R50&lt;&gt;"TRUE",N50="UNKNOWN",T50&lt;&gt;"PASSED")),"待人工复核","可导入")))))))</f>
        <v/>
      </c>
      <c r="B50" s="125" t="n"/>
      <c r="C50" s="125" t="n"/>
      <c r="D50" s="125" t="n"/>
      <c r="E50" s="125" t="n"/>
      <c r="F50" s="135" t="n"/>
      <c r="G50" s="135" t="n"/>
      <c r="H50" s="127" t="n"/>
      <c r="I50" s="127" t="n"/>
      <c r="J50" s="127" t="n"/>
      <c r="K50" s="127" t="n"/>
      <c r="L50" s="127" t="n"/>
      <c r="M50" s="127" t="n"/>
      <c r="N50" s="125" t="n"/>
      <c r="O50" s="125" t="n"/>
      <c r="P50" s="125" t="n"/>
      <c r="Q50" s="127" t="n"/>
      <c r="R50" s="125" t="n"/>
      <c r="S50" s="125" t="n"/>
      <c r="T50" s="125" t="n"/>
      <c r="U50" s="125" t="n"/>
    </row>
    <row r="51">
      <c r="A51" s="118">
        <f>IF(COUNTA(B51:U51)=0,"待填写",IF(OR(B51="",C51="",NOT(ISNUMBER(H51)),NOT(ISNUMBER(I51)),NOT(ISNUMBER(J51)),K51="",NOT(ISNUMBER(L51)),M51="",N51="",O51="",Q51="",R51="",S51="",T51=""),"请补全必填",IF(COUNTIF($B$5:$B$104,B51)&gt;1,"ID重复",IF(COUNTIF('珠子SKU'!$C$5:$C$104,C51)=0,"关联不存在",IF(OR(ISNA(MATCH(K51,'_枚举'!$H$2:$H$5,0)),ISNA(MATCH(M51,'_枚举'!$G$2:$G$3,0)),ISNA(MATCH(N51,'_枚举'!$A$2:$A$4,0)),ISNA(MATCH(O51,'_枚举'!$B$2:$B$5,0)),ISNA(MATCH(Q51,'_枚举'!$C$2:$C$3,0)),ISNA(MATCH(R51,'_枚举'!$C$2:$C$3,0)),ISNA(MATCH(S51,'_枚举'!$C$2:$C$3,0)),ISNA(MATCH(T51,'_枚举'!$I$2:$I$5,0))),"枚举错误",IF(OR(AND(F51&lt;&gt;"",NOT(ISNUMBER(F51))),AND(G51&lt;&gt;"",NOT(ISNUMBER(G51))),NOT(ISNUMBER(H51)),H51&lt;0,NOT(ISNUMBER(I51)),I51&lt;0,NOT(ISNUMBER(J51)),J51&lt;0,I51+J51&gt;H51,NOT(ISNUMBER(L51)),L51&lt;0),"格式错误",IF(AND(S51="TRUE",OR(Q51&lt;&gt;"TRUE",R51&lt;&gt;"TRUE",N51="UNKNOWN",T51&lt;&gt;"PASSED")),"待人工复核","可导入")))))))</f>
        <v/>
      </c>
      <c r="B51" s="125" t="n"/>
      <c r="C51" s="125" t="n"/>
      <c r="D51" s="125" t="n"/>
      <c r="E51" s="125" t="n"/>
      <c r="F51" s="135" t="n"/>
      <c r="G51" s="135" t="n"/>
      <c r="H51" s="127" t="n"/>
      <c r="I51" s="127" t="n"/>
      <c r="J51" s="127" t="n"/>
      <c r="K51" s="127" t="n"/>
      <c r="L51" s="127" t="n"/>
      <c r="M51" s="127" t="n"/>
      <c r="N51" s="125" t="n"/>
      <c r="O51" s="125" t="n"/>
      <c r="P51" s="125" t="n"/>
      <c r="Q51" s="127" t="n"/>
      <c r="R51" s="125" t="n"/>
      <c r="S51" s="125" t="n"/>
      <c r="T51" s="125" t="n"/>
      <c r="U51" s="125" t="n"/>
    </row>
    <row r="52">
      <c r="A52" s="118">
        <f>IF(COUNTA(B52:U52)=0,"待填写",IF(OR(B52="",C52="",NOT(ISNUMBER(H52)),NOT(ISNUMBER(I52)),NOT(ISNUMBER(J52)),K52="",NOT(ISNUMBER(L52)),M52="",N52="",O52="",Q52="",R52="",S52="",T52=""),"请补全必填",IF(COUNTIF($B$5:$B$104,B52)&gt;1,"ID重复",IF(COUNTIF('珠子SKU'!$C$5:$C$104,C52)=0,"关联不存在",IF(OR(ISNA(MATCH(K52,'_枚举'!$H$2:$H$5,0)),ISNA(MATCH(M52,'_枚举'!$G$2:$G$3,0)),ISNA(MATCH(N52,'_枚举'!$A$2:$A$4,0)),ISNA(MATCH(O52,'_枚举'!$B$2:$B$5,0)),ISNA(MATCH(Q52,'_枚举'!$C$2:$C$3,0)),ISNA(MATCH(R52,'_枚举'!$C$2:$C$3,0)),ISNA(MATCH(S52,'_枚举'!$C$2:$C$3,0)),ISNA(MATCH(T52,'_枚举'!$I$2:$I$5,0))),"枚举错误",IF(OR(AND(F52&lt;&gt;"",NOT(ISNUMBER(F52))),AND(G52&lt;&gt;"",NOT(ISNUMBER(G52))),NOT(ISNUMBER(H52)),H52&lt;0,NOT(ISNUMBER(I52)),I52&lt;0,NOT(ISNUMBER(J52)),J52&lt;0,I52+J52&gt;H52,NOT(ISNUMBER(L52)),L52&lt;0),"格式错误",IF(AND(S52="TRUE",OR(Q52&lt;&gt;"TRUE",R52&lt;&gt;"TRUE",N52="UNKNOWN",T52&lt;&gt;"PASSED")),"待人工复核","可导入")))))))</f>
        <v/>
      </c>
      <c r="B52" s="125" t="n"/>
      <c r="C52" s="125" t="n"/>
      <c r="D52" s="125" t="n"/>
      <c r="E52" s="125" t="n"/>
      <c r="F52" s="135" t="n"/>
      <c r="G52" s="135" t="n"/>
      <c r="H52" s="127" t="n"/>
      <c r="I52" s="127" t="n"/>
      <c r="J52" s="127" t="n"/>
      <c r="K52" s="127" t="n"/>
      <c r="L52" s="127" t="n"/>
      <c r="M52" s="127" t="n"/>
      <c r="N52" s="125" t="n"/>
      <c r="O52" s="125" t="n"/>
      <c r="P52" s="125" t="n"/>
      <c r="Q52" s="127" t="n"/>
      <c r="R52" s="125" t="n"/>
      <c r="S52" s="125" t="n"/>
      <c r="T52" s="125" t="n"/>
      <c r="U52" s="125" t="n"/>
    </row>
    <row r="53">
      <c r="A53" s="118">
        <f>IF(COUNTA(B53:U53)=0,"待填写",IF(OR(B53="",C53="",NOT(ISNUMBER(H53)),NOT(ISNUMBER(I53)),NOT(ISNUMBER(J53)),K53="",NOT(ISNUMBER(L53)),M53="",N53="",O53="",Q53="",R53="",S53="",T53=""),"请补全必填",IF(COUNTIF($B$5:$B$104,B53)&gt;1,"ID重复",IF(COUNTIF('珠子SKU'!$C$5:$C$104,C53)=0,"关联不存在",IF(OR(ISNA(MATCH(K53,'_枚举'!$H$2:$H$5,0)),ISNA(MATCH(M53,'_枚举'!$G$2:$G$3,0)),ISNA(MATCH(N53,'_枚举'!$A$2:$A$4,0)),ISNA(MATCH(O53,'_枚举'!$B$2:$B$5,0)),ISNA(MATCH(Q53,'_枚举'!$C$2:$C$3,0)),ISNA(MATCH(R53,'_枚举'!$C$2:$C$3,0)),ISNA(MATCH(S53,'_枚举'!$C$2:$C$3,0)),ISNA(MATCH(T53,'_枚举'!$I$2:$I$5,0))),"枚举错误",IF(OR(AND(F53&lt;&gt;"",NOT(ISNUMBER(F53))),AND(G53&lt;&gt;"",NOT(ISNUMBER(G53))),NOT(ISNUMBER(H53)),H53&lt;0,NOT(ISNUMBER(I53)),I53&lt;0,NOT(ISNUMBER(J53)),J53&lt;0,I53+J53&gt;H53,NOT(ISNUMBER(L53)),L53&lt;0),"格式错误",IF(AND(S53="TRUE",OR(Q53&lt;&gt;"TRUE",R53&lt;&gt;"TRUE",N53="UNKNOWN",T53&lt;&gt;"PASSED")),"待人工复核","可导入")))))))</f>
        <v/>
      </c>
      <c r="B53" s="125" t="n"/>
      <c r="C53" s="125" t="n"/>
      <c r="D53" s="125" t="n"/>
      <c r="E53" s="125" t="n"/>
      <c r="F53" s="135" t="n"/>
      <c r="G53" s="135" t="n"/>
      <c r="H53" s="127" t="n"/>
      <c r="I53" s="127" t="n"/>
      <c r="J53" s="127" t="n"/>
      <c r="K53" s="127" t="n"/>
      <c r="L53" s="127" t="n"/>
      <c r="M53" s="127" t="n"/>
      <c r="N53" s="125" t="n"/>
      <c r="O53" s="125" t="n"/>
      <c r="P53" s="125" t="n"/>
      <c r="Q53" s="127" t="n"/>
      <c r="R53" s="125" t="n"/>
      <c r="S53" s="125" t="n"/>
      <c r="T53" s="125" t="n"/>
      <c r="U53" s="125" t="n"/>
    </row>
    <row r="54">
      <c r="A54" s="118">
        <f>IF(COUNTA(B54:U54)=0,"待填写",IF(OR(B54="",C54="",NOT(ISNUMBER(H54)),NOT(ISNUMBER(I54)),NOT(ISNUMBER(J54)),K54="",NOT(ISNUMBER(L54)),M54="",N54="",O54="",Q54="",R54="",S54="",T54=""),"请补全必填",IF(COUNTIF($B$5:$B$104,B54)&gt;1,"ID重复",IF(COUNTIF('珠子SKU'!$C$5:$C$104,C54)=0,"关联不存在",IF(OR(ISNA(MATCH(K54,'_枚举'!$H$2:$H$5,0)),ISNA(MATCH(M54,'_枚举'!$G$2:$G$3,0)),ISNA(MATCH(N54,'_枚举'!$A$2:$A$4,0)),ISNA(MATCH(O54,'_枚举'!$B$2:$B$5,0)),ISNA(MATCH(Q54,'_枚举'!$C$2:$C$3,0)),ISNA(MATCH(R54,'_枚举'!$C$2:$C$3,0)),ISNA(MATCH(S54,'_枚举'!$C$2:$C$3,0)),ISNA(MATCH(T54,'_枚举'!$I$2:$I$5,0))),"枚举错误",IF(OR(AND(F54&lt;&gt;"",NOT(ISNUMBER(F54))),AND(G54&lt;&gt;"",NOT(ISNUMBER(G54))),NOT(ISNUMBER(H54)),H54&lt;0,NOT(ISNUMBER(I54)),I54&lt;0,NOT(ISNUMBER(J54)),J54&lt;0,I54+J54&gt;H54,NOT(ISNUMBER(L54)),L54&lt;0),"格式错误",IF(AND(S54="TRUE",OR(Q54&lt;&gt;"TRUE",R54&lt;&gt;"TRUE",N54="UNKNOWN",T54&lt;&gt;"PASSED")),"待人工复核","可导入")))))))</f>
        <v/>
      </c>
      <c r="B54" s="125" t="n"/>
      <c r="C54" s="125" t="n"/>
      <c r="D54" s="125" t="n"/>
      <c r="E54" s="125" t="n"/>
      <c r="F54" s="135" t="n"/>
      <c r="G54" s="135" t="n"/>
      <c r="H54" s="127" t="n"/>
      <c r="I54" s="127" t="n"/>
      <c r="J54" s="127" t="n"/>
      <c r="K54" s="127" t="n"/>
      <c r="L54" s="127" t="n"/>
      <c r="M54" s="127" t="n"/>
      <c r="N54" s="125" t="n"/>
      <c r="O54" s="125" t="n"/>
      <c r="P54" s="125" t="n"/>
      <c r="Q54" s="127" t="n"/>
      <c r="R54" s="125" t="n"/>
      <c r="S54" s="125" t="n"/>
      <c r="T54" s="125" t="n"/>
      <c r="U54" s="125" t="n"/>
    </row>
    <row r="55">
      <c r="A55" s="118">
        <f>IF(COUNTA(B55:U55)=0,"待填写",IF(OR(B55="",C55="",NOT(ISNUMBER(H55)),NOT(ISNUMBER(I55)),NOT(ISNUMBER(J55)),K55="",NOT(ISNUMBER(L55)),M55="",N55="",O55="",Q55="",R55="",S55="",T55=""),"请补全必填",IF(COUNTIF($B$5:$B$104,B55)&gt;1,"ID重复",IF(COUNTIF('珠子SKU'!$C$5:$C$104,C55)=0,"关联不存在",IF(OR(ISNA(MATCH(K55,'_枚举'!$H$2:$H$5,0)),ISNA(MATCH(M55,'_枚举'!$G$2:$G$3,0)),ISNA(MATCH(N55,'_枚举'!$A$2:$A$4,0)),ISNA(MATCH(O55,'_枚举'!$B$2:$B$5,0)),ISNA(MATCH(Q55,'_枚举'!$C$2:$C$3,0)),ISNA(MATCH(R55,'_枚举'!$C$2:$C$3,0)),ISNA(MATCH(S55,'_枚举'!$C$2:$C$3,0)),ISNA(MATCH(T55,'_枚举'!$I$2:$I$5,0))),"枚举错误",IF(OR(AND(F55&lt;&gt;"",NOT(ISNUMBER(F55))),AND(G55&lt;&gt;"",NOT(ISNUMBER(G55))),NOT(ISNUMBER(H55)),H55&lt;0,NOT(ISNUMBER(I55)),I55&lt;0,NOT(ISNUMBER(J55)),J55&lt;0,I55+J55&gt;H55,NOT(ISNUMBER(L55)),L55&lt;0),"格式错误",IF(AND(S55="TRUE",OR(Q55&lt;&gt;"TRUE",R55&lt;&gt;"TRUE",N55="UNKNOWN",T55&lt;&gt;"PASSED")),"待人工复核","可导入")))))))</f>
        <v/>
      </c>
      <c r="B55" s="125" t="n"/>
      <c r="C55" s="125" t="n"/>
      <c r="D55" s="125" t="n"/>
      <c r="E55" s="125" t="n"/>
      <c r="F55" s="135" t="n"/>
      <c r="G55" s="135" t="n"/>
      <c r="H55" s="127" t="n"/>
      <c r="I55" s="127" t="n"/>
      <c r="J55" s="127" t="n"/>
      <c r="K55" s="127" t="n"/>
      <c r="L55" s="127" t="n"/>
      <c r="M55" s="127" t="n"/>
      <c r="N55" s="125" t="n"/>
      <c r="O55" s="125" t="n"/>
      <c r="P55" s="125" t="n"/>
      <c r="Q55" s="127" t="n"/>
      <c r="R55" s="125" t="n"/>
      <c r="S55" s="125" t="n"/>
      <c r="T55" s="125" t="n"/>
      <c r="U55" s="125" t="n"/>
    </row>
    <row r="56">
      <c r="A56" s="118">
        <f>IF(COUNTA(B56:U56)=0,"待填写",IF(OR(B56="",C56="",NOT(ISNUMBER(H56)),NOT(ISNUMBER(I56)),NOT(ISNUMBER(J56)),K56="",NOT(ISNUMBER(L56)),M56="",N56="",O56="",Q56="",R56="",S56="",T56=""),"请补全必填",IF(COUNTIF($B$5:$B$104,B56)&gt;1,"ID重复",IF(COUNTIF('珠子SKU'!$C$5:$C$104,C56)=0,"关联不存在",IF(OR(ISNA(MATCH(K56,'_枚举'!$H$2:$H$5,0)),ISNA(MATCH(M56,'_枚举'!$G$2:$G$3,0)),ISNA(MATCH(N56,'_枚举'!$A$2:$A$4,0)),ISNA(MATCH(O56,'_枚举'!$B$2:$B$5,0)),ISNA(MATCH(Q56,'_枚举'!$C$2:$C$3,0)),ISNA(MATCH(R56,'_枚举'!$C$2:$C$3,0)),ISNA(MATCH(S56,'_枚举'!$C$2:$C$3,0)),ISNA(MATCH(T56,'_枚举'!$I$2:$I$5,0))),"枚举错误",IF(OR(AND(F56&lt;&gt;"",NOT(ISNUMBER(F56))),AND(G56&lt;&gt;"",NOT(ISNUMBER(G56))),NOT(ISNUMBER(H56)),H56&lt;0,NOT(ISNUMBER(I56)),I56&lt;0,NOT(ISNUMBER(J56)),J56&lt;0,I56+J56&gt;H56,NOT(ISNUMBER(L56)),L56&lt;0),"格式错误",IF(AND(S56="TRUE",OR(Q56&lt;&gt;"TRUE",R56&lt;&gt;"TRUE",N56="UNKNOWN",T56&lt;&gt;"PASSED")),"待人工复核","可导入")))))))</f>
        <v/>
      </c>
      <c r="B56" s="125" t="n"/>
      <c r="C56" s="125" t="n"/>
      <c r="D56" s="125" t="n"/>
      <c r="E56" s="125" t="n"/>
      <c r="F56" s="135" t="n"/>
      <c r="G56" s="135" t="n"/>
      <c r="H56" s="127" t="n"/>
      <c r="I56" s="127" t="n"/>
      <c r="J56" s="127" t="n"/>
      <c r="K56" s="127" t="n"/>
      <c r="L56" s="127" t="n"/>
      <c r="M56" s="127" t="n"/>
      <c r="N56" s="125" t="n"/>
      <c r="O56" s="125" t="n"/>
      <c r="P56" s="125" t="n"/>
      <c r="Q56" s="127" t="n"/>
      <c r="R56" s="125" t="n"/>
      <c r="S56" s="125" t="n"/>
      <c r="T56" s="125" t="n"/>
      <c r="U56" s="125" t="n"/>
    </row>
    <row r="57">
      <c r="A57" s="118">
        <f>IF(COUNTA(B57:U57)=0,"待填写",IF(OR(B57="",C57="",NOT(ISNUMBER(H57)),NOT(ISNUMBER(I57)),NOT(ISNUMBER(J57)),K57="",NOT(ISNUMBER(L57)),M57="",N57="",O57="",Q57="",R57="",S57="",T57=""),"请补全必填",IF(COUNTIF($B$5:$B$104,B57)&gt;1,"ID重复",IF(COUNTIF('珠子SKU'!$C$5:$C$104,C57)=0,"关联不存在",IF(OR(ISNA(MATCH(K57,'_枚举'!$H$2:$H$5,0)),ISNA(MATCH(M57,'_枚举'!$G$2:$G$3,0)),ISNA(MATCH(N57,'_枚举'!$A$2:$A$4,0)),ISNA(MATCH(O57,'_枚举'!$B$2:$B$5,0)),ISNA(MATCH(Q57,'_枚举'!$C$2:$C$3,0)),ISNA(MATCH(R57,'_枚举'!$C$2:$C$3,0)),ISNA(MATCH(S57,'_枚举'!$C$2:$C$3,0)),ISNA(MATCH(T57,'_枚举'!$I$2:$I$5,0))),"枚举错误",IF(OR(AND(F57&lt;&gt;"",NOT(ISNUMBER(F57))),AND(G57&lt;&gt;"",NOT(ISNUMBER(G57))),NOT(ISNUMBER(H57)),H57&lt;0,NOT(ISNUMBER(I57)),I57&lt;0,NOT(ISNUMBER(J57)),J57&lt;0,I57+J57&gt;H57,NOT(ISNUMBER(L57)),L57&lt;0),"格式错误",IF(AND(S57="TRUE",OR(Q57&lt;&gt;"TRUE",R57&lt;&gt;"TRUE",N57="UNKNOWN",T57&lt;&gt;"PASSED")),"待人工复核","可导入")))))))</f>
        <v/>
      </c>
      <c r="B57" s="125" t="n"/>
      <c r="C57" s="125" t="n"/>
      <c r="D57" s="125" t="n"/>
      <c r="E57" s="125" t="n"/>
      <c r="F57" s="135" t="n"/>
      <c r="G57" s="135" t="n"/>
      <c r="H57" s="127" t="n"/>
      <c r="I57" s="127" t="n"/>
      <c r="J57" s="127" t="n"/>
      <c r="K57" s="127" t="n"/>
      <c r="L57" s="127" t="n"/>
      <c r="M57" s="127" t="n"/>
      <c r="N57" s="125" t="n"/>
      <c r="O57" s="125" t="n"/>
      <c r="P57" s="125" t="n"/>
      <c r="Q57" s="127" t="n"/>
      <c r="R57" s="125" t="n"/>
      <c r="S57" s="125" t="n"/>
      <c r="T57" s="125" t="n"/>
      <c r="U57" s="125" t="n"/>
    </row>
    <row r="58">
      <c r="A58" s="118">
        <f>IF(COUNTA(B58:U58)=0,"待填写",IF(OR(B58="",C58="",NOT(ISNUMBER(H58)),NOT(ISNUMBER(I58)),NOT(ISNUMBER(J58)),K58="",NOT(ISNUMBER(L58)),M58="",N58="",O58="",Q58="",R58="",S58="",T58=""),"请补全必填",IF(COUNTIF($B$5:$B$104,B58)&gt;1,"ID重复",IF(COUNTIF('珠子SKU'!$C$5:$C$104,C58)=0,"关联不存在",IF(OR(ISNA(MATCH(K58,'_枚举'!$H$2:$H$5,0)),ISNA(MATCH(M58,'_枚举'!$G$2:$G$3,0)),ISNA(MATCH(N58,'_枚举'!$A$2:$A$4,0)),ISNA(MATCH(O58,'_枚举'!$B$2:$B$5,0)),ISNA(MATCH(Q58,'_枚举'!$C$2:$C$3,0)),ISNA(MATCH(R58,'_枚举'!$C$2:$C$3,0)),ISNA(MATCH(S58,'_枚举'!$C$2:$C$3,0)),ISNA(MATCH(T58,'_枚举'!$I$2:$I$5,0))),"枚举错误",IF(OR(AND(F58&lt;&gt;"",NOT(ISNUMBER(F58))),AND(G58&lt;&gt;"",NOT(ISNUMBER(G58))),NOT(ISNUMBER(H58)),H58&lt;0,NOT(ISNUMBER(I58)),I58&lt;0,NOT(ISNUMBER(J58)),J58&lt;0,I58+J58&gt;H58,NOT(ISNUMBER(L58)),L58&lt;0),"格式错误",IF(AND(S58="TRUE",OR(Q58&lt;&gt;"TRUE",R58&lt;&gt;"TRUE",N58="UNKNOWN",T58&lt;&gt;"PASSED")),"待人工复核","可导入")))))))</f>
        <v/>
      </c>
      <c r="B58" s="125" t="n"/>
      <c r="C58" s="125" t="n"/>
      <c r="D58" s="125" t="n"/>
      <c r="E58" s="125" t="n"/>
      <c r="F58" s="135" t="n"/>
      <c r="G58" s="135" t="n"/>
      <c r="H58" s="127" t="n"/>
      <c r="I58" s="127" t="n"/>
      <c r="J58" s="127" t="n"/>
      <c r="K58" s="127" t="n"/>
      <c r="L58" s="127" t="n"/>
      <c r="M58" s="127" t="n"/>
      <c r="N58" s="125" t="n"/>
      <c r="O58" s="125" t="n"/>
      <c r="P58" s="125" t="n"/>
      <c r="Q58" s="127" t="n"/>
      <c r="R58" s="125" t="n"/>
      <c r="S58" s="125" t="n"/>
      <c r="T58" s="125" t="n"/>
      <c r="U58" s="125" t="n"/>
    </row>
    <row r="59">
      <c r="A59" s="118">
        <f>IF(COUNTA(B59:U59)=0,"待填写",IF(OR(B59="",C59="",NOT(ISNUMBER(H59)),NOT(ISNUMBER(I59)),NOT(ISNUMBER(J59)),K59="",NOT(ISNUMBER(L59)),M59="",N59="",O59="",Q59="",R59="",S59="",T59=""),"请补全必填",IF(COUNTIF($B$5:$B$104,B59)&gt;1,"ID重复",IF(COUNTIF('珠子SKU'!$C$5:$C$104,C59)=0,"关联不存在",IF(OR(ISNA(MATCH(K59,'_枚举'!$H$2:$H$5,0)),ISNA(MATCH(M59,'_枚举'!$G$2:$G$3,0)),ISNA(MATCH(N59,'_枚举'!$A$2:$A$4,0)),ISNA(MATCH(O59,'_枚举'!$B$2:$B$5,0)),ISNA(MATCH(Q59,'_枚举'!$C$2:$C$3,0)),ISNA(MATCH(R59,'_枚举'!$C$2:$C$3,0)),ISNA(MATCH(S59,'_枚举'!$C$2:$C$3,0)),ISNA(MATCH(T59,'_枚举'!$I$2:$I$5,0))),"枚举错误",IF(OR(AND(F59&lt;&gt;"",NOT(ISNUMBER(F59))),AND(G59&lt;&gt;"",NOT(ISNUMBER(G59))),NOT(ISNUMBER(H59)),H59&lt;0,NOT(ISNUMBER(I59)),I59&lt;0,NOT(ISNUMBER(J59)),J59&lt;0,I59+J59&gt;H59,NOT(ISNUMBER(L59)),L59&lt;0),"格式错误",IF(AND(S59="TRUE",OR(Q59&lt;&gt;"TRUE",R59&lt;&gt;"TRUE",N59="UNKNOWN",T59&lt;&gt;"PASSED")),"待人工复核","可导入")))))))</f>
        <v/>
      </c>
      <c r="B59" s="125" t="n"/>
      <c r="C59" s="125" t="n"/>
      <c r="D59" s="125" t="n"/>
      <c r="E59" s="125" t="n"/>
      <c r="F59" s="135" t="n"/>
      <c r="G59" s="135" t="n"/>
      <c r="H59" s="127" t="n"/>
      <c r="I59" s="127" t="n"/>
      <c r="J59" s="127" t="n"/>
      <c r="K59" s="127" t="n"/>
      <c r="L59" s="127" t="n"/>
      <c r="M59" s="127" t="n"/>
      <c r="N59" s="125" t="n"/>
      <c r="O59" s="125" t="n"/>
      <c r="P59" s="125" t="n"/>
      <c r="Q59" s="127" t="n"/>
      <c r="R59" s="125" t="n"/>
      <c r="S59" s="125" t="n"/>
      <c r="T59" s="125" t="n"/>
      <c r="U59" s="125" t="n"/>
    </row>
    <row r="60">
      <c r="A60" s="118">
        <f>IF(COUNTA(B60:U60)=0,"待填写",IF(OR(B60="",C60="",NOT(ISNUMBER(H60)),NOT(ISNUMBER(I60)),NOT(ISNUMBER(J60)),K60="",NOT(ISNUMBER(L60)),M60="",N60="",O60="",Q60="",R60="",S60="",T60=""),"请补全必填",IF(COUNTIF($B$5:$B$104,B60)&gt;1,"ID重复",IF(COUNTIF('珠子SKU'!$C$5:$C$104,C60)=0,"关联不存在",IF(OR(ISNA(MATCH(K60,'_枚举'!$H$2:$H$5,0)),ISNA(MATCH(M60,'_枚举'!$G$2:$G$3,0)),ISNA(MATCH(N60,'_枚举'!$A$2:$A$4,0)),ISNA(MATCH(O60,'_枚举'!$B$2:$B$5,0)),ISNA(MATCH(Q60,'_枚举'!$C$2:$C$3,0)),ISNA(MATCH(R60,'_枚举'!$C$2:$C$3,0)),ISNA(MATCH(S60,'_枚举'!$C$2:$C$3,0)),ISNA(MATCH(T60,'_枚举'!$I$2:$I$5,0))),"枚举错误",IF(OR(AND(F60&lt;&gt;"",NOT(ISNUMBER(F60))),AND(G60&lt;&gt;"",NOT(ISNUMBER(G60))),NOT(ISNUMBER(H60)),H60&lt;0,NOT(ISNUMBER(I60)),I60&lt;0,NOT(ISNUMBER(J60)),J60&lt;0,I60+J60&gt;H60,NOT(ISNUMBER(L60)),L60&lt;0),"格式错误",IF(AND(S60="TRUE",OR(Q60&lt;&gt;"TRUE",R60&lt;&gt;"TRUE",N60="UNKNOWN",T60&lt;&gt;"PASSED")),"待人工复核","可导入")))))))</f>
        <v/>
      </c>
      <c r="B60" s="125" t="n"/>
      <c r="C60" s="125" t="n"/>
      <c r="D60" s="125" t="n"/>
      <c r="E60" s="125" t="n"/>
      <c r="F60" s="135" t="n"/>
      <c r="G60" s="135" t="n"/>
      <c r="H60" s="127" t="n"/>
      <c r="I60" s="127" t="n"/>
      <c r="J60" s="127" t="n"/>
      <c r="K60" s="127" t="n"/>
      <c r="L60" s="127" t="n"/>
      <c r="M60" s="127" t="n"/>
      <c r="N60" s="125" t="n"/>
      <c r="O60" s="125" t="n"/>
      <c r="P60" s="125" t="n"/>
      <c r="Q60" s="127" t="n"/>
      <c r="R60" s="125" t="n"/>
      <c r="S60" s="125" t="n"/>
      <c r="T60" s="125" t="n"/>
      <c r="U60" s="125" t="n"/>
    </row>
    <row r="61">
      <c r="A61" s="118">
        <f>IF(COUNTA(B61:U61)=0,"待填写",IF(OR(B61="",C61="",NOT(ISNUMBER(H61)),NOT(ISNUMBER(I61)),NOT(ISNUMBER(J61)),K61="",NOT(ISNUMBER(L61)),M61="",N61="",O61="",Q61="",R61="",S61="",T61=""),"请补全必填",IF(COUNTIF($B$5:$B$104,B61)&gt;1,"ID重复",IF(COUNTIF('珠子SKU'!$C$5:$C$104,C61)=0,"关联不存在",IF(OR(ISNA(MATCH(K61,'_枚举'!$H$2:$H$5,0)),ISNA(MATCH(M61,'_枚举'!$G$2:$G$3,0)),ISNA(MATCH(N61,'_枚举'!$A$2:$A$4,0)),ISNA(MATCH(O61,'_枚举'!$B$2:$B$5,0)),ISNA(MATCH(Q61,'_枚举'!$C$2:$C$3,0)),ISNA(MATCH(R61,'_枚举'!$C$2:$C$3,0)),ISNA(MATCH(S61,'_枚举'!$C$2:$C$3,0)),ISNA(MATCH(T61,'_枚举'!$I$2:$I$5,0))),"枚举错误",IF(OR(AND(F61&lt;&gt;"",NOT(ISNUMBER(F61))),AND(G61&lt;&gt;"",NOT(ISNUMBER(G61))),NOT(ISNUMBER(H61)),H61&lt;0,NOT(ISNUMBER(I61)),I61&lt;0,NOT(ISNUMBER(J61)),J61&lt;0,I61+J61&gt;H61,NOT(ISNUMBER(L61)),L61&lt;0),"格式错误",IF(AND(S61="TRUE",OR(Q61&lt;&gt;"TRUE",R61&lt;&gt;"TRUE",N61="UNKNOWN",T61&lt;&gt;"PASSED")),"待人工复核","可导入")))))))</f>
        <v/>
      </c>
      <c r="B61" s="125" t="n"/>
      <c r="C61" s="125" t="n"/>
      <c r="D61" s="125" t="n"/>
      <c r="E61" s="125" t="n"/>
      <c r="F61" s="135" t="n"/>
      <c r="G61" s="135" t="n"/>
      <c r="H61" s="127" t="n"/>
      <c r="I61" s="127" t="n"/>
      <c r="J61" s="127" t="n"/>
      <c r="K61" s="127" t="n"/>
      <c r="L61" s="127" t="n"/>
      <c r="M61" s="127" t="n"/>
      <c r="N61" s="125" t="n"/>
      <c r="O61" s="125" t="n"/>
      <c r="P61" s="125" t="n"/>
      <c r="Q61" s="127" t="n"/>
      <c r="R61" s="125" t="n"/>
      <c r="S61" s="125" t="n"/>
      <c r="T61" s="125" t="n"/>
      <c r="U61" s="125" t="n"/>
    </row>
    <row r="62">
      <c r="A62" s="118">
        <f>IF(COUNTA(B62:U62)=0,"待填写",IF(OR(B62="",C62="",NOT(ISNUMBER(H62)),NOT(ISNUMBER(I62)),NOT(ISNUMBER(J62)),K62="",NOT(ISNUMBER(L62)),M62="",N62="",O62="",Q62="",R62="",S62="",T62=""),"请补全必填",IF(COUNTIF($B$5:$B$104,B62)&gt;1,"ID重复",IF(COUNTIF('珠子SKU'!$C$5:$C$104,C62)=0,"关联不存在",IF(OR(ISNA(MATCH(K62,'_枚举'!$H$2:$H$5,0)),ISNA(MATCH(M62,'_枚举'!$G$2:$G$3,0)),ISNA(MATCH(N62,'_枚举'!$A$2:$A$4,0)),ISNA(MATCH(O62,'_枚举'!$B$2:$B$5,0)),ISNA(MATCH(Q62,'_枚举'!$C$2:$C$3,0)),ISNA(MATCH(R62,'_枚举'!$C$2:$C$3,0)),ISNA(MATCH(S62,'_枚举'!$C$2:$C$3,0)),ISNA(MATCH(T62,'_枚举'!$I$2:$I$5,0))),"枚举错误",IF(OR(AND(F62&lt;&gt;"",NOT(ISNUMBER(F62))),AND(G62&lt;&gt;"",NOT(ISNUMBER(G62))),NOT(ISNUMBER(H62)),H62&lt;0,NOT(ISNUMBER(I62)),I62&lt;0,NOT(ISNUMBER(J62)),J62&lt;0,I62+J62&gt;H62,NOT(ISNUMBER(L62)),L62&lt;0),"格式错误",IF(AND(S62="TRUE",OR(Q62&lt;&gt;"TRUE",R62&lt;&gt;"TRUE",N62="UNKNOWN",T62&lt;&gt;"PASSED")),"待人工复核","可导入")))))))</f>
        <v/>
      </c>
      <c r="B62" s="125" t="n"/>
      <c r="C62" s="125" t="n"/>
      <c r="D62" s="125" t="n"/>
      <c r="E62" s="125" t="n"/>
      <c r="F62" s="135" t="n"/>
      <c r="G62" s="135" t="n"/>
      <c r="H62" s="127" t="n"/>
      <c r="I62" s="127" t="n"/>
      <c r="J62" s="127" t="n"/>
      <c r="K62" s="127" t="n"/>
      <c r="L62" s="127" t="n"/>
      <c r="M62" s="127" t="n"/>
      <c r="N62" s="125" t="n"/>
      <c r="O62" s="125" t="n"/>
      <c r="P62" s="125" t="n"/>
      <c r="Q62" s="127" t="n"/>
      <c r="R62" s="125" t="n"/>
      <c r="S62" s="125" t="n"/>
      <c r="T62" s="125" t="n"/>
      <c r="U62" s="125" t="n"/>
    </row>
    <row r="63">
      <c r="A63" s="118">
        <f>IF(COUNTA(B63:U63)=0,"待填写",IF(OR(B63="",C63="",NOT(ISNUMBER(H63)),NOT(ISNUMBER(I63)),NOT(ISNUMBER(J63)),K63="",NOT(ISNUMBER(L63)),M63="",N63="",O63="",Q63="",R63="",S63="",T63=""),"请补全必填",IF(COUNTIF($B$5:$B$104,B63)&gt;1,"ID重复",IF(COUNTIF('珠子SKU'!$C$5:$C$104,C63)=0,"关联不存在",IF(OR(ISNA(MATCH(K63,'_枚举'!$H$2:$H$5,0)),ISNA(MATCH(M63,'_枚举'!$G$2:$G$3,0)),ISNA(MATCH(N63,'_枚举'!$A$2:$A$4,0)),ISNA(MATCH(O63,'_枚举'!$B$2:$B$5,0)),ISNA(MATCH(Q63,'_枚举'!$C$2:$C$3,0)),ISNA(MATCH(R63,'_枚举'!$C$2:$C$3,0)),ISNA(MATCH(S63,'_枚举'!$C$2:$C$3,0)),ISNA(MATCH(T63,'_枚举'!$I$2:$I$5,0))),"枚举错误",IF(OR(AND(F63&lt;&gt;"",NOT(ISNUMBER(F63))),AND(G63&lt;&gt;"",NOT(ISNUMBER(G63))),NOT(ISNUMBER(H63)),H63&lt;0,NOT(ISNUMBER(I63)),I63&lt;0,NOT(ISNUMBER(J63)),J63&lt;0,I63+J63&gt;H63,NOT(ISNUMBER(L63)),L63&lt;0),"格式错误",IF(AND(S63="TRUE",OR(Q63&lt;&gt;"TRUE",R63&lt;&gt;"TRUE",N63="UNKNOWN",T63&lt;&gt;"PASSED")),"待人工复核","可导入")))))))</f>
        <v/>
      </c>
      <c r="B63" s="125" t="n"/>
      <c r="C63" s="125" t="n"/>
      <c r="D63" s="125" t="n"/>
      <c r="E63" s="125" t="n"/>
      <c r="F63" s="135" t="n"/>
      <c r="G63" s="135" t="n"/>
      <c r="H63" s="127" t="n"/>
      <c r="I63" s="127" t="n"/>
      <c r="J63" s="127" t="n"/>
      <c r="K63" s="127" t="n"/>
      <c r="L63" s="127" t="n"/>
      <c r="M63" s="127" t="n"/>
      <c r="N63" s="125" t="n"/>
      <c r="O63" s="125" t="n"/>
      <c r="P63" s="125" t="n"/>
      <c r="Q63" s="127" t="n"/>
      <c r="R63" s="125" t="n"/>
      <c r="S63" s="125" t="n"/>
      <c r="T63" s="125" t="n"/>
      <c r="U63" s="125" t="n"/>
    </row>
    <row r="64">
      <c r="A64" s="118">
        <f>IF(COUNTA(B64:U64)=0,"待填写",IF(OR(B64="",C64="",NOT(ISNUMBER(H64)),NOT(ISNUMBER(I64)),NOT(ISNUMBER(J64)),K64="",NOT(ISNUMBER(L64)),M64="",N64="",O64="",Q64="",R64="",S64="",T64=""),"请补全必填",IF(COUNTIF($B$5:$B$104,B64)&gt;1,"ID重复",IF(COUNTIF('珠子SKU'!$C$5:$C$104,C64)=0,"关联不存在",IF(OR(ISNA(MATCH(K64,'_枚举'!$H$2:$H$5,0)),ISNA(MATCH(M64,'_枚举'!$G$2:$G$3,0)),ISNA(MATCH(N64,'_枚举'!$A$2:$A$4,0)),ISNA(MATCH(O64,'_枚举'!$B$2:$B$5,0)),ISNA(MATCH(Q64,'_枚举'!$C$2:$C$3,0)),ISNA(MATCH(R64,'_枚举'!$C$2:$C$3,0)),ISNA(MATCH(S64,'_枚举'!$C$2:$C$3,0)),ISNA(MATCH(T64,'_枚举'!$I$2:$I$5,0))),"枚举错误",IF(OR(AND(F64&lt;&gt;"",NOT(ISNUMBER(F64))),AND(G64&lt;&gt;"",NOT(ISNUMBER(G64))),NOT(ISNUMBER(H64)),H64&lt;0,NOT(ISNUMBER(I64)),I64&lt;0,NOT(ISNUMBER(J64)),J64&lt;0,I64+J64&gt;H64,NOT(ISNUMBER(L64)),L64&lt;0),"格式错误",IF(AND(S64="TRUE",OR(Q64&lt;&gt;"TRUE",R64&lt;&gt;"TRUE",N64="UNKNOWN",T64&lt;&gt;"PASSED")),"待人工复核","可导入")))))))</f>
        <v/>
      </c>
      <c r="B64" s="125" t="n"/>
      <c r="C64" s="125" t="n"/>
      <c r="D64" s="125" t="n"/>
      <c r="E64" s="125" t="n"/>
      <c r="F64" s="135" t="n"/>
      <c r="G64" s="135" t="n"/>
      <c r="H64" s="127" t="n"/>
      <c r="I64" s="127" t="n"/>
      <c r="J64" s="127" t="n"/>
      <c r="K64" s="127" t="n"/>
      <c r="L64" s="127" t="n"/>
      <c r="M64" s="127" t="n"/>
      <c r="N64" s="125" t="n"/>
      <c r="O64" s="125" t="n"/>
      <c r="P64" s="125" t="n"/>
      <c r="Q64" s="127" t="n"/>
      <c r="R64" s="125" t="n"/>
      <c r="S64" s="125" t="n"/>
      <c r="T64" s="125" t="n"/>
      <c r="U64" s="125" t="n"/>
    </row>
    <row r="65">
      <c r="A65" s="118">
        <f>IF(COUNTA(B65:U65)=0,"待填写",IF(OR(B65="",C65="",NOT(ISNUMBER(H65)),NOT(ISNUMBER(I65)),NOT(ISNUMBER(J65)),K65="",NOT(ISNUMBER(L65)),M65="",N65="",O65="",Q65="",R65="",S65="",T65=""),"请补全必填",IF(COUNTIF($B$5:$B$104,B65)&gt;1,"ID重复",IF(COUNTIF('珠子SKU'!$C$5:$C$104,C65)=0,"关联不存在",IF(OR(ISNA(MATCH(K65,'_枚举'!$H$2:$H$5,0)),ISNA(MATCH(M65,'_枚举'!$G$2:$G$3,0)),ISNA(MATCH(N65,'_枚举'!$A$2:$A$4,0)),ISNA(MATCH(O65,'_枚举'!$B$2:$B$5,0)),ISNA(MATCH(Q65,'_枚举'!$C$2:$C$3,0)),ISNA(MATCH(R65,'_枚举'!$C$2:$C$3,0)),ISNA(MATCH(S65,'_枚举'!$C$2:$C$3,0)),ISNA(MATCH(T65,'_枚举'!$I$2:$I$5,0))),"枚举错误",IF(OR(AND(F65&lt;&gt;"",NOT(ISNUMBER(F65))),AND(G65&lt;&gt;"",NOT(ISNUMBER(G65))),NOT(ISNUMBER(H65)),H65&lt;0,NOT(ISNUMBER(I65)),I65&lt;0,NOT(ISNUMBER(J65)),J65&lt;0,I65+J65&gt;H65,NOT(ISNUMBER(L65)),L65&lt;0),"格式错误",IF(AND(S65="TRUE",OR(Q65&lt;&gt;"TRUE",R65&lt;&gt;"TRUE",N65="UNKNOWN",T65&lt;&gt;"PASSED")),"待人工复核","可导入")))))))</f>
        <v/>
      </c>
      <c r="B65" s="125" t="n"/>
      <c r="C65" s="125" t="n"/>
      <c r="D65" s="125" t="n"/>
      <c r="E65" s="125" t="n"/>
      <c r="F65" s="135" t="n"/>
      <c r="G65" s="135" t="n"/>
      <c r="H65" s="127" t="n"/>
      <c r="I65" s="127" t="n"/>
      <c r="J65" s="127" t="n"/>
      <c r="K65" s="127" t="n"/>
      <c r="L65" s="127" t="n"/>
      <c r="M65" s="127" t="n"/>
      <c r="N65" s="125" t="n"/>
      <c r="O65" s="125" t="n"/>
      <c r="P65" s="125" t="n"/>
      <c r="Q65" s="127" t="n"/>
      <c r="R65" s="125" t="n"/>
      <c r="S65" s="125" t="n"/>
      <c r="T65" s="125" t="n"/>
      <c r="U65" s="125" t="n"/>
    </row>
    <row r="66">
      <c r="A66" s="118">
        <f>IF(COUNTA(B66:U66)=0,"待填写",IF(OR(B66="",C66="",NOT(ISNUMBER(H66)),NOT(ISNUMBER(I66)),NOT(ISNUMBER(J66)),K66="",NOT(ISNUMBER(L66)),M66="",N66="",O66="",Q66="",R66="",S66="",T66=""),"请补全必填",IF(COUNTIF($B$5:$B$104,B66)&gt;1,"ID重复",IF(COUNTIF('珠子SKU'!$C$5:$C$104,C66)=0,"关联不存在",IF(OR(ISNA(MATCH(K66,'_枚举'!$H$2:$H$5,0)),ISNA(MATCH(M66,'_枚举'!$G$2:$G$3,0)),ISNA(MATCH(N66,'_枚举'!$A$2:$A$4,0)),ISNA(MATCH(O66,'_枚举'!$B$2:$B$5,0)),ISNA(MATCH(Q66,'_枚举'!$C$2:$C$3,0)),ISNA(MATCH(R66,'_枚举'!$C$2:$C$3,0)),ISNA(MATCH(S66,'_枚举'!$C$2:$C$3,0)),ISNA(MATCH(T66,'_枚举'!$I$2:$I$5,0))),"枚举错误",IF(OR(AND(F66&lt;&gt;"",NOT(ISNUMBER(F66))),AND(G66&lt;&gt;"",NOT(ISNUMBER(G66))),NOT(ISNUMBER(H66)),H66&lt;0,NOT(ISNUMBER(I66)),I66&lt;0,NOT(ISNUMBER(J66)),J66&lt;0,I66+J66&gt;H66,NOT(ISNUMBER(L66)),L66&lt;0),"格式错误",IF(AND(S66="TRUE",OR(Q66&lt;&gt;"TRUE",R66&lt;&gt;"TRUE",N66="UNKNOWN",T66&lt;&gt;"PASSED")),"待人工复核","可导入")))))))</f>
        <v/>
      </c>
      <c r="B66" s="125" t="n"/>
      <c r="C66" s="125" t="n"/>
      <c r="D66" s="125" t="n"/>
      <c r="E66" s="125" t="n"/>
      <c r="F66" s="135" t="n"/>
      <c r="G66" s="135" t="n"/>
      <c r="H66" s="127" t="n"/>
      <c r="I66" s="127" t="n"/>
      <c r="J66" s="127" t="n"/>
      <c r="K66" s="127" t="n"/>
      <c r="L66" s="127" t="n"/>
      <c r="M66" s="127" t="n"/>
      <c r="N66" s="125" t="n"/>
      <c r="O66" s="125" t="n"/>
      <c r="P66" s="125" t="n"/>
      <c r="Q66" s="127" t="n"/>
      <c r="R66" s="125" t="n"/>
      <c r="S66" s="125" t="n"/>
      <c r="T66" s="125" t="n"/>
      <c r="U66" s="125" t="n"/>
    </row>
    <row r="67">
      <c r="A67" s="118">
        <f>IF(COUNTA(B67:U67)=0,"待填写",IF(OR(B67="",C67="",NOT(ISNUMBER(H67)),NOT(ISNUMBER(I67)),NOT(ISNUMBER(J67)),K67="",NOT(ISNUMBER(L67)),M67="",N67="",O67="",Q67="",R67="",S67="",T67=""),"请补全必填",IF(COUNTIF($B$5:$B$104,B67)&gt;1,"ID重复",IF(COUNTIF('珠子SKU'!$C$5:$C$104,C67)=0,"关联不存在",IF(OR(ISNA(MATCH(K67,'_枚举'!$H$2:$H$5,0)),ISNA(MATCH(M67,'_枚举'!$G$2:$G$3,0)),ISNA(MATCH(N67,'_枚举'!$A$2:$A$4,0)),ISNA(MATCH(O67,'_枚举'!$B$2:$B$5,0)),ISNA(MATCH(Q67,'_枚举'!$C$2:$C$3,0)),ISNA(MATCH(R67,'_枚举'!$C$2:$C$3,0)),ISNA(MATCH(S67,'_枚举'!$C$2:$C$3,0)),ISNA(MATCH(T67,'_枚举'!$I$2:$I$5,0))),"枚举错误",IF(OR(AND(F67&lt;&gt;"",NOT(ISNUMBER(F67))),AND(G67&lt;&gt;"",NOT(ISNUMBER(G67))),NOT(ISNUMBER(H67)),H67&lt;0,NOT(ISNUMBER(I67)),I67&lt;0,NOT(ISNUMBER(J67)),J67&lt;0,I67+J67&gt;H67,NOT(ISNUMBER(L67)),L67&lt;0),"格式错误",IF(AND(S67="TRUE",OR(Q67&lt;&gt;"TRUE",R67&lt;&gt;"TRUE",N67="UNKNOWN",T67&lt;&gt;"PASSED")),"待人工复核","可导入")))))))</f>
        <v/>
      </c>
      <c r="B67" s="125" t="n"/>
      <c r="C67" s="125" t="n"/>
      <c r="D67" s="125" t="n"/>
      <c r="E67" s="125" t="n"/>
      <c r="F67" s="135" t="n"/>
      <c r="G67" s="135" t="n"/>
      <c r="H67" s="127" t="n"/>
      <c r="I67" s="127" t="n"/>
      <c r="J67" s="127" t="n"/>
      <c r="K67" s="127" t="n"/>
      <c r="L67" s="127" t="n"/>
      <c r="M67" s="127" t="n"/>
      <c r="N67" s="125" t="n"/>
      <c r="O67" s="125" t="n"/>
      <c r="P67" s="125" t="n"/>
      <c r="Q67" s="127" t="n"/>
      <c r="R67" s="125" t="n"/>
      <c r="S67" s="125" t="n"/>
      <c r="T67" s="125" t="n"/>
      <c r="U67" s="125" t="n"/>
    </row>
    <row r="68">
      <c r="A68" s="118">
        <f>IF(COUNTA(B68:U68)=0,"待填写",IF(OR(B68="",C68="",NOT(ISNUMBER(H68)),NOT(ISNUMBER(I68)),NOT(ISNUMBER(J68)),K68="",NOT(ISNUMBER(L68)),M68="",N68="",O68="",Q68="",R68="",S68="",T68=""),"请补全必填",IF(COUNTIF($B$5:$B$104,B68)&gt;1,"ID重复",IF(COUNTIF('珠子SKU'!$C$5:$C$104,C68)=0,"关联不存在",IF(OR(ISNA(MATCH(K68,'_枚举'!$H$2:$H$5,0)),ISNA(MATCH(M68,'_枚举'!$G$2:$G$3,0)),ISNA(MATCH(N68,'_枚举'!$A$2:$A$4,0)),ISNA(MATCH(O68,'_枚举'!$B$2:$B$5,0)),ISNA(MATCH(Q68,'_枚举'!$C$2:$C$3,0)),ISNA(MATCH(R68,'_枚举'!$C$2:$C$3,0)),ISNA(MATCH(S68,'_枚举'!$C$2:$C$3,0)),ISNA(MATCH(T68,'_枚举'!$I$2:$I$5,0))),"枚举错误",IF(OR(AND(F68&lt;&gt;"",NOT(ISNUMBER(F68))),AND(G68&lt;&gt;"",NOT(ISNUMBER(G68))),NOT(ISNUMBER(H68)),H68&lt;0,NOT(ISNUMBER(I68)),I68&lt;0,NOT(ISNUMBER(J68)),J68&lt;0,I68+J68&gt;H68,NOT(ISNUMBER(L68)),L68&lt;0),"格式错误",IF(AND(S68="TRUE",OR(Q68&lt;&gt;"TRUE",R68&lt;&gt;"TRUE",N68="UNKNOWN",T68&lt;&gt;"PASSED")),"待人工复核","可导入")))))))</f>
        <v/>
      </c>
      <c r="B68" s="125" t="n"/>
      <c r="C68" s="125" t="n"/>
      <c r="D68" s="125" t="n"/>
      <c r="E68" s="125" t="n"/>
      <c r="F68" s="135" t="n"/>
      <c r="G68" s="135" t="n"/>
      <c r="H68" s="127" t="n"/>
      <c r="I68" s="127" t="n"/>
      <c r="J68" s="127" t="n"/>
      <c r="K68" s="127" t="n"/>
      <c r="L68" s="127" t="n"/>
      <c r="M68" s="127" t="n"/>
      <c r="N68" s="125" t="n"/>
      <c r="O68" s="125" t="n"/>
      <c r="P68" s="125" t="n"/>
      <c r="Q68" s="127" t="n"/>
      <c r="R68" s="125" t="n"/>
      <c r="S68" s="125" t="n"/>
      <c r="T68" s="125" t="n"/>
      <c r="U68" s="125" t="n"/>
    </row>
    <row r="69">
      <c r="A69" s="118">
        <f>IF(COUNTA(B69:U69)=0,"待填写",IF(OR(B69="",C69="",NOT(ISNUMBER(H69)),NOT(ISNUMBER(I69)),NOT(ISNUMBER(J69)),K69="",NOT(ISNUMBER(L69)),M69="",N69="",O69="",Q69="",R69="",S69="",T69=""),"请补全必填",IF(COUNTIF($B$5:$B$104,B69)&gt;1,"ID重复",IF(COUNTIF('珠子SKU'!$C$5:$C$104,C69)=0,"关联不存在",IF(OR(ISNA(MATCH(K69,'_枚举'!$H$2:$H$5,0)),ISNA(MATCH(M69,'_枚举'!$G$2:$G$3,0)),ISNA(MATCH(N69,'_枚举'!$A$2:$A$4,0)),ISNA(MATCH(O69,'_枚举'!$B$2:$B$5,0)),ISNA(MATCH(Q69,'_枚举'!$C$2:$C$3,0)),ISNA(MATCH(R69,'_枚举'!$C$2:$C$3,0)),ISNA(MATCH(S69,'_枚举'!$C$2:$C$3,0)),ISNA(MATCH(T69,'_枚举'!$I$2:$I$5,0))),"枚举错误",IF(OR(AND(F69&lt;&gt;"",NOT(ISNUMBER(F69))),AND(G69&lt;&gt;"",NOT(ISNUMBER(G69))),NOT(ISNUMBER(H69)),H69&lt;0,NOT(ISNUMBER(I69)),I69&lt;0,NOT(ISNUMBER(J69)),J69&lt;0,I69+J69&gt;H69,NOT(ISNUMBER(L69)),L69&lt;0),"格式错误",IF(AND(S69="TRUE",OR(Q69&lt;&gt;"TRUE",R69&lt;&gt;"TRUE",N69="UNKNOWN",T69&lt;&gt;"PASSED")),"待人工复核","可导入")))))))</f>
        <v/>
      </c>
      <c r="B69" s="125" t="n"/>
      <c r="C69" s="125" t="n"/>
      <c r="D69" s="125" t="n"/>
      <c r="E69" s="125" t="n"/>
      <c r="F69" s="135" t="n"/>
      <c r="G69" s="135" t="n"/>
      <c r="H69" s="127" t="n"/>
      <c r="I69" s="127" t="n"/>
      <c r="J69" s="127" t="n"/>
      <c r="K69" s="127" t="n"/>
      <c r="L69" s="127" t="n"/>
      <c r="M69" s="127" t="n"/>
      <c r="N69" s="125" t="n"/>
      <c r="O69" s="125" t="n"/>
      <c r="P69" s="125" t="n"/>
      <c r="Q69" s="127" t="n"/>
      <c r="R69" s="125" t="n"/>
      <c r="S69" s="125" t="n"/>
      <c r="T69" s="125" t="n"/>
      <c r="U69" s="125" t="n"/>
    </row>
    <row r="70">
      <c r="A70" s="118">
        <f>IF(COUNTA(B70:U70)=0,"待填写",IF(OR(B70="",C70="",NOT(ISNUMBER(H70)),NOT(ISNUMBER(I70)),NOT(ISNUMBER(J70)),K70="",NOT(ISNUMBER(L70)),M70="",N70="",O70="",Q70="",R70="",S70="",T70=""),"请补全必填",IF(COUNTIF($B$5:$B$104,B70)&gt;1,"ID重复",IF(COUNTIF('珠子SKU'!$C$5:$C$104,C70)=0,"关联不存在",IF(OR(ISNA(MATCH(K70,'_枚举'!$H$2:$H$5,0)),ISNA(MATCH(M70,'_枚举'!$G$2:$G$3,0)),ISNA(MATCH(N70,'_枚举'!$A$2:$A$4,0)),ISNA(MATCH(O70,'_枚举'!$B$2:$B$5,0)),ISNA(MATCH(Q70,'_枚举'!$C$2:$C$3,0)),ISNA(MATCH(R70,'_枚举'!$C$2:$C$3,0)),ISNA(MATCH(S70,'_枚举'!$C$2:$C$3,0)),ISNA(MATCH(T70,'_枚举'!$I$2:$I$5,0))),"枚举错误",IF(OR(AND(F70&lt;&gt;"",NOT(ISNUMBER(F70))),AND(G70&lt;&gt;"",NOT(ISNUMBER(G70))),NOT(ISNUMBER(H70)),H70&lt;0,NOT(ISNUMBER(I70)),I70&lt;0,NOT(ISNUMBER(J70)),J70&lt;0,I70+J70&gt;H70,NOT(ISNUMBER(L70)),L70&lt;0),"格式错误",IF(AND(S70="TRUE",OR(Q70&lt;&gt;"TRUE",R70&lt;&gt;"TRUE",N70="UNKNOWN",T70&lt;&gt;"PASSED")),"待人工复核","可导入")))))))</f>
        <v/>
      </c>
      <c r="B70" s="125" t="n"/>
      <c r="C70" s="125" t="n"/>
      <c r="D70" s="125" t="n"/>
      <c r="E70" s="125" t="n"/>
      <c r="F70" s="135" t="n"/>
      <c r="G70" s="135" t="n"/>
      <c r="H70" s="127" t="n"/>
      <c r="I70" s="127" t="n"/>
      <c r="J70" s="127" t="n"/>
      <c r="K70" s="127" t="n"/>
      <c r="L70" s="127" t="n"/>
      <c r="M70" s="127" t="n"/>
      <c r="N70" s="125" t="n"/>
      <c r="O70" s="125" t="n"/>
      <c r="P70" s="125" t="n"/>
      <c r="Q70" s="127" t="n"/>
      <c r="R70" s="125" t="n"/>
      <c r="S70" s="125" t="n"/>
      <c r="T70" s="125" t="n"/>
      <c r="U70" s="125" t="n"/>
    </row>
    <row r="71">
      <c r="A71" s="118">
        <f>IF(COUNTA(B71:U71)=0,"待填写",IF(OR(B71="",C71="",NOT(ISNUMBER(H71)),NOT(ISNUMBER(I71)),NOT(ISNUMBER(J71)),K71="",NOT(ISNUMBER(L71)),M71="",N71="",O71="",Q71="",R71="",S71="",T71=""),"请补全必填",IF(COUNTIF($B$5:$B$104,B71)&gt;1,"ID重复",IF(COUNTIF('珠子SKU'!$C$5:$C$104,C71)=0,"关联不存在",IF(OR(ISNA(MATCH(K71,'_枚举'!$H$2:$H$5,0)),ISNA(MATCH(M71,'_枚举'!$G$2:$G$3,0)),ISNA(MATCH(N71,'_枚举'!$A$2:$A$4,0)),ISNA(MATCH(O71,'_枚举'!$B$2:$B$5,0)),ISNA(MATCH(Q71,'_枚举'!$C$2:$C$3,0)),ISNA(MATCH(R71,'_枚举'!$C$2:$C$3,0)),ISNA(MATCH(S71,'_枚举'!$C$2:$C$3,0)),ISNA(MATCH(T71,'_枚举'!$I$2:$I$5,0))),"枚举错误",IF(OR(AND(F71&lt;&gt;"",NOT(ISNUMBER(F71))),AND(G71&lt;&gt;"",NOT(ISNUMBER(G71))),NOT(ISNUMBER(H71)),H71&lt;0,NOT(ISNUMBER(I71)),I71&lt;0,NOT(ISNUMBER(J71)),J71&lt;0,I71+J71&gt;H71,NOT(ISNUMBER(L71)),L71&lt;0),"格式错误",IF(AND(S71="TRUE",OR(Q71&lt;&gt;"TRUE",R71&lt;&gt;"TRUE",N71="UNKNOWN",T71&lt;&gt;"PASSED")),"待人工复核","可导入")))))))</f>
        <v/>
      </c>
      <c r="B71" s="125" t="n"/>
      <c r="C71" s="125" t="n"/>
      <c r="D71" s="125" t="n"/>
      <c r="E71" s="125" t="n"/>
      <c r="F71" s="135" t="n"/>
      <c r="G71" s="135" t="n"/>
      <c r="H71" s="127" t="n"/>
      <c r="I71" s="127" t="n"/>
      <c r="J71" s="127" t="n"/>
      <c r="K71" s="127" t="n"/>
      <c r="L71" s="127" t="n"/>
      <c r="M71" s="127" t="n"/>
      <c r="N71" s="125" t="n"/>
      <c r="O71" s="125" t="n"/>
      <c r="P71" s="125" t="n"/>
      <c r="Q71" s="127" t="n"/>
      <c r="R71" s="125" t="n"/>
      <c r="S71" s="125" t="n"/>
      <c r="T71" s="125" t="n"/>
      <c r="U71" s="125" t="n"/>
    </row>
    <row r="72">
      <c r="A72" s="118">
        <f>IF(COUNTA(B72:U72)=0,"待填写",IF(OR(B72="",C72="",NOT(ISNUMBER(H72)),NOT(ISNUMBER(I72)),NOT(ISNUMBER(J72)),K72="",NOT(ISNUMBER(L72)),M72="",N72="",O72="",Q72="",R72="",S72="",T72=""),"请补全必填",IF(COUNTIF($B$5:$B$104,B72)&gt;1,"ID重复",IF(COUNTIF('珠子SKU'!$C$5:$C$104,C72)=0,"关联不存在",IF(OR(ISNA(MATCH(K72,'_枚举'!$H$2:$H$5,0)),ISNA(MATCH(M72,'_枚举'!$G$2:$G$3,0)),ISNA(MATCH(N72,'_枚举'!$A$2:$A$4,0)),ISNA(MATCH(O72,'_枚举'!$B$2:$B$5,0)),ISNA(MATCH(Q72,'_枚举'!$C$2:$C$3,0)),ISNA(MATCH(R72,'_枚举'!$C$2:$C$3,0)),ISNA(MATCH(S72,'_枚举'!$C$2:$C$3,0)),ISNA(MATCH(T72,'_枚举'!$I$2:$I$5,0))),"枚举错误",IF(OR(AND(F72&lt;&gt;"",NOT(ISNUMBER(F72))),AND(G72&lt;&gt;"",NOT(ISNUMBER(G72))),NOT(ISNUMBER(H72)),H72&lt;0,NOT(ISNUMBER(I72)),I72&lt;0,NOT(ISNUMBER(J72)),J72&lt;0,I72+J72&gt;H72,NOT(ISNUMBER(L72)),L72&lt;0),"格式错误",IF(AND(S72="TRUE",OR(Q72&lt;&gt;"TRUE",R72&lt;&gt;"TRUE",N72="UNKNOWN",T72&lt;&gt;"PASSED")),"待人工复核","可导入")))))))</f>
        <v/>
      </c>
      <c r="B72" s="125" t="n"/>
      <c r="C72" s="125" t="n"/>
      <c r="D72" s="125" t="n"/>
      <c r="E72" s="125" t="n"/>
      <c r="F72" s="135" t="n"/>
      <c r="G72" s="135" t="n"/>
      <c r="H72" s="127" t="n"/>
      <c r="I72" s="127" t="n"/>
      <c r="J72" s="127" t="n"/>
      <c r="K72" s="127" t="n"/>
      <c r="L72" s="127" t="n"/>
      <c r="M72" s="127" t="n"/>
      <c r="N72" s="125" t="n"/>
      <c r="O72" s="125" t="n"/>
      <c r="P72" s="125" t="n"/>
      <c r="Q72" s="127" t="n"/>
      <c r="R72" s="125" t="n"/>
      <c r="S72" s="125" t="n"/>
      <c r="T72" s="125" t="n"/>
      <c r="U72" s="125" t="n"/>
    </row>
    <row r="73">
      <c r="A73" s="118">
        <f>IF(COUNTA(B73:U73)=0,"待填写",IF(OR(B73="",C73="",NOT(ISNUMBER(H73)),NOT(ISNUMBER(I73)),NOT(ISNUMBER(J73)),K73="",NOT(ISNUMBER(L73)),M73="",N73="",O73="",Q73="",R73="",S73="",T73=""),"请补全必填",IF(COUNTIF($B$5:$B$104,B73)&gt;1,"ID重复",IF(COUNTIF('珠子SKU'!$C$5:$C$104,C73)=0,"关联不存在",IF(OR(ISNA(MATCH(K73,'_枚举'!$H$2:$H$5,0)),ISNA(MATCH(M73,'_枚举'!$G$2:$G$3,0)),ISNA(MATCH(N73,'_枚举'!$A$2:$A$4,0)),ISNA(MATCH(O73,'_枚举'!$B$2:$B$5,0)),ISNA(MATCH(Q73,'_枚举'!$C$2:$C$3,0)),ISNA(MATCH(R73,'_枚举'!$C$2:$C$3,0)),ISNA(MATCH(S73,'_枚举'!$C$2:$C$3,0)),ISNA(MATCH(T73,'_枚举'!$I$2:$I$5,0))),"枚举错误",IF(OR(AND(F73&lt;&gt;"",NOT(ISNUMBER(F73))),AND(G73&lt;&gt;"",NOT(ISNUMBER(G73))),NOT(ISNUMBER(H73)),H73&lt;0,NOT(ISNUMBER(I73)),I73&lt;0,NOT(ISNUMBER(J73)),J73&lt;0,I73+J73&gt;H73,NOT(ISNUMBER(L73)),L73&lt;0),"格式错误",IF(AND(S73="TRUE",OR(Q73&lt;&gt;"TRUE",R73&lt;&gt;"TRUE",N73="UNKNOWN",T73&lt;&gt;"PASSED")),"待人工复核","可导入")))))))</f>
        <v/>
      </c>
      <c r="B73" s="125" t="n"/>
      <c r="C73" s="125" t="n"/>
      <c r="D73" s="125" t="n"/>
      <c r="E73" s="125" t="n"/>
      <c r="F73" s="135" t="n"/>
      <c r="G73" s="135" t="n"/>
      <c r="H73" s="127" t="n"/>
      <c r="I73" s="127" t="n"/>
      <c r="J73" s="127" t="n"/>
      <c r="K73" s="127" t="n"/>
      <c r="L73" s="127" t="n"/>
      <c r="M73" s="127" t="n"/>
      <c r="N73" s="125" t="n"/>
      <c r="O73" s="125" t="n"/>
      <c r="P73" s="125" t="n"/>
      <c r="Q73" s="127" t="n"/>
      <c r="R73" s="125" t="n"/>
      <c r="S73" s="125" t="n"/>
      <c r="T73" s="125" t="n"/>
      <c r="U73" s="125" t="n"/>
    </row>
    <row r="74">
      <c r="A74" s="118">
        <f>IF(COUNTA(B74:U74)=0,"待填写",IF(OR(B74="",C74="",NOT(ISNUMBER(H74)),NOT(ISNUMBER(I74)),NOT(ISNUMBER(J74)),K74="",NOT(ISNUMBER(L74)),M74="",N74="",O74="",Q74="",R74="",S74="",T74=""),"请补全必填",IF(COUNTIF($B$5:$B$104,B74)&gt;1,"ID重复",IF(COUNTIF('珠子SKU'!$C$5:$C$104,C74)=0,"关联不存在",IF(OR(ISNA(MATCH(K74,'_枚举'!$H$2:$H$5,0)),ISNA(MATCH(M74,'_枚举'!$G$2:$G$3,0)),ISNA(MATCH(N74,'_枚举'!$A$2:$A$4,0)),ISNA(MATCH(O74,'_枚举'!$B$2:$B$5,0)),ISNA(MATCH(Q74,'_枚举'!$C$2:$C$3,0)),ISNA(MATCH(R74,'_枚举'!$C$2:$C$3,0)),ISNA(MATCH(S74,'_枚举'!$C$2:$C$3,0)),ISNA(MATCH(T74,'_枚举'!$I$2:$I$5,0))),"枚举错误",IF(OR(AND(F74&lt;&gt;"",NOT(ISNUMBER(F74))),AND(G74&lt;&gt;"",NOT(ISNUMBER(G74))),NOT(ISNUMBER(H74)),H74&lt;0,NOT(ISNUMBER(I74)),I74&lt;0,NOT(ISNUMBER(J74)),J74&lt;0,I74+J74&gt;H74,NOT(ISNUMBER(L74)),L74&lt;0),"格式错误",IF(AND(S74="TRUE",OR(Q74&lt;&gt;"TRUE",R74&lt;&gt;"TRUE",N74="UNKNOWN",T74&lt;&gt;"PASSED")),"待人工复核","可导入")))))))</f>
        <v/>
      </c>
      <c r="B74" s="125" t="n"/>
      <c r="C74" s="125" t="n"/>
      <c r="D74" s="125" t="n"/>
      <c r="E74" s="125" t="n"/>
      <c r="F74" s="135" t="n"/>
      <c r="G74" s="135" t="n"/>
      <c r="H74" s="127" t="n"/>
      <c r="I74" s="127" t="n"/>
      <c r="J74" s="127" t="n"/>
      <c r="K74" s="127" t="n"/>
      <c r="L74" s="127" t="n"/>
      <c r="M74" s="127" t="n"/>
      <c r="N74" s="125" t="n"/>
      <c r="O74" s="125" t="n"/>
      <c r="P74" s="125" t="n"/>
      <c r="Q74" s="127" t="n"/>
      <c r="R74" s="125" t="n"/>
      <c r="S74" s="125" t="n"/>
      <c r="T74" s="125" t="n"/>
      <c r="U74" s="125" t="n"/>
    </row>
    <row r="75">
      <c r="A75" s="118">
        <f>IF(COUNTA(B75:U75)=0,"待填写",IF(OR(B75="",C75="",NOT(ISNUMBER(H75)),NOT(ISNUMBER(I75)),NOT(ISNUMBER(J75)),K75="",NOT(ISNUMBER(L75)),M75="",N75="",O75="",Q75="",R75="",S75="",T75=""),"请补全必填",IF(COUNTIF($B$5:$B$104,B75)&gt;1,"ID重复",IF(COUNTIF('珠子SKU'!$C$5:$C$104,C75)=0,"关联不存在",IF(OR(ISNA(MATCH(K75,'_枚举'!$H$2:$H$5,0)),ISNA(MATCH(M75,'_枚举'!$G$2:$G$3,0)),ISNA(MATCH(N75,'_枚举'!$A$2:$A$4,0)),ISNA(MATCH(O75,'_枚举'!$B$2:$B$5,0)),ISNA(MATCH(Q75,'_枚举'!$C$2:$C$3,0)),ISNA(MATCH(R75,'_枚举'!$C$2:$C$3,0)),ISNA(MATCH(S75,'_枚举'!$C$2:$C$3,0)),ISNA(MATCH(T75,'_枚举'!$I$2:$I$5,0))),"枚举错误",IF(OR(AND(F75&lt;&gt;"",NOT(ISNUMBER(F75))),AND(G75&lt;&gt;"",NOT(ISNUMBER(G75))),NOT(ISNUMBER(H75)),H75&lt;0,NOT(ISNUMBER(I75)),I75&lt;0,NOT(ISNUMBER(J75)),J75&lt;0,I75+J75&gt;H75,NOT(ISNUMBER(L75)),L75&lt;0),"格式错误",IF(AND(S75="TRUE",OR(Q75&lt;&gt;"TRUE",R75&lt;&gt;"TRUE",N75="UNKNOWN",T75&lt;&gt;"PASSED")),"待人工复核","可导入")))))))</f>
        <v/>
      </c>
      <c r="B75" s="125" t="n"/>
      <c r="C75" s="125" t="n"/>
      <c r="D75" s="125" t="n"/>
      <c r="E75" s="125" t="n"/>
      <c r="F75" s="135" t="n"/>
      <c r="G75" s="135" t="n"/>
      <c r="H75" s="127" t="n"/>
      <c r="I75" s="127" t="n"/>
      <c r="J75" s="127" t="n"/>
      <c r="K75" s="127" t="n"/>
      <c r="L75" s="127" t="n"/>
      <c r="M75" s="127" t="n"/>
      <c r="N75" s="125" t="n"/>
      <c r="O75" s="125" t="n"/>
      <c r="P75" s="125" t="n"/>
      <c r="Q75" s="127" t="n"/>
      <c r="R75" s="125" t="n"/>
      <c r="S75" s="125" t="n"/>
      <c r="T75" s="125" t="n"/>
      <c r="U75" s="125" t="n"/>
    </row>
    <row r="76">
      <c r="A76" s="118">
        <f>IF(COUNTA(B76:U76)=0,"待填写",IF(OR(B76="",C76="",NOT(ISNUMBER(H76)),NOT(ISNUMBER(I76)),NOT(ISNUMBER(J76)),K76="",NOT(ISNUMBER(L76)),M76="",N76="",O76="",Q76="",R76="",S76="",T76=""),"请补全必填",IF(COUNTIF($B$5:$B$104,B76)&gt;1,"ID重复",IF(COUNTIF('珠子SKU'!$C$5:$C$104,C76)=0,"关联不存在",IF(OR(ISNA(MATCH(K76,'_枚举'!$H$2:$H$5,0)),ISNA(MATCH(M76,'_枚举'!$G$2:$G$3,0)),ISNA(MATCH(N76,'_枚举'!$A$2:$A$4,0)),ISNA(MATCH(O76,'_枚举'!$B$2:$B$5,0)),ISNA(MATCH(Q76,'_枚举'!$C$2:$C$3,0)),ISNA(MATCH(R76,'_枚举'!$C$2:$C$3,0)),ISNA(MATCH(S76,'_枚举'!$C$2:$C$3,0)),ISNA(MATCH(T76,'_枚举'!$I$2:$I$5,0))),"枚举错误",IF(OR(AND(F76&lt;&gt;"",NOT(ISNUMBER(F76))),AND(G76&lt;&gt;"",NOT(ISNUMBER(G76))),NOT(ISNUMBER(H76)),H76&lt;0,NOT(ISNUMBER(I76)),I76&lt;0,NOT(ISNUMBER(J76)),J76&lt;0,I76+J76&gt;H76,NOT(ISNUMBER(L76)),L76&lt;0),"格式错误",IF(AND(S76="TRUE",OR(Q76&lt;&gt;"TRUE",R76&lt;&gt;"TRUE",N76="UNKNOWN",T76&lt;&gt;"PASSED")),"待人工复核","可导入")))))))</f>
        <v/>
      </c>
      <c r="B76" s="125" t="n"/>
      <c r="C76" s="125" t="n"/>
      <c r="D76" s="125" t="n"/>
      <c r="E76" s="125" t="n"/>
      <c r="F76" s="135" t="n"/>
      <c r="G76" s="135" t="n"/>
      <c r="H76" s="127" t="n"/>
      <c r="I76" s="127" t="n"/>
      <c r="J76" s="127" t="n"/>
      <c r="K76" s="127" t="n"/>
      <c r="L76" s="127" t="n"/>
      <c r="M76" s="127" t="n"/>
      <c r="N76" s="125" t="n"/>
      <c r="O76" s="125" t="n"/>
      <c r="P76" s="125" t="n"/>
      <c r="Q76" s="127" t="n"/>
      <c r="R76" s="125" t="n"/>
      <c r="S76" s="125" t="n"/>
      <c r="T76" s="125" t="n"/>
      <c r="U76" s="125" t="n"/>
    </row>
    <row r="77">
      <c r="A77" s="118">
        <f>IF(COUNTA(B77:U77)=0,"待填写",IF(OR(B77="",C77="",NOT(ISNUMBER(H77)),NOT(ISNUMBER(I77)),NOT(ISNUMBER(J77)),K77="",NOT(ISNUMBER(L77)),M77="",N77="",O77="",Q77="",R77="",S77="",T77=""),"请补全必填",IF(COUNTIF($B$5:$B$104,B77)&gt;1,"ID重复",IF(COUNTIF('珠子SKU'!$C$5:$C$104,C77)=0,"关联不存在",IF(OR(ISNA(MATCH(K77,'_枚举'!$H$2:$H$5,0)),ISNA(MATCH(M77,'_枚举'!$G$2:$G$3,0)),ISNA(MATCH(N77,'_枚举'!$A$2:$A$4,0)),ISNA(MATCH(O77,'_枚举'!$B$2:$B$5,0)),ISNA(MATCH(Q77,'_枚举'!$C$2:$C$3,0)),ISNA(MATCH(R77,'_枚举'!$C$2:$C$3,0)),ISNA(MATCH(S77,'_枚举'!$C$2:$C$3,0)),ISNA(MATCH(T77,'_枚举'!$I$2:$I$5,0))),"枚举错误",IF(OR(AND(F77&lt;&gt;"",NOT(ISNUMBER(F77))),AND(G77&lt;&gt;"",NOT(ISNUMBER(G77))),NOT(ISNUMBER(H77)),H77&lt;0,NOT(ISNUMBER(I77)),I77&lt;0,NOT(ISNUMBER(J77)),J77&lt;0,I77+J77&gt;H77,NOT(ISNUMBER(L77)),L77&lt;0),"格式错误",IF(AND(S77="TRUE",OR(Q77&lt;&gt;"TRUE",R77&lt;&gt;"TRUE",N77="UNKNOWN",T77&lt;&gt;"PASSED")),"待人工复核","可导入")))))))</f>
        <v/>
      </c>
      <c r="B77" s="125" t="n"/>
      <c r="C77" s="125" t="n"/>
      <c r="D77" s="125" t="n"/>
      <c r="E77" s="125" t="n"/>
      <c r="F77" s="135" t="n"/>
      <c r="G77" s="135" t="n"/>
      <c r="H77" s="127" t="n"/>
      <c r="I77" s="127" t="n"/>
      <c r="J77" s="127" t="n"/>
      <c r="K77" s="127" t="n"/>
      <c r="L77" s="127" t="n"/>
      <c r="M77" s="127" t="n"/>
      <c r="N77" s="125" t="n"/>
      <c r="O77" s="125" t="n"/>
      <c r="P77" s="125" t="n"/>
      <c r="Q77" s="127" t="n"/>
      <c r="R77" s="125" t="n"/>
      <c r="S77" s="125" t="n"/>
      <c r="T77" s="125" t="n"/>
      <c r="U77" s="125" t="n"/>
    </row>
    <row r="78">
      <c r="A78" s="118">
        <f>IF(COUNTA(B78:U78)=0,"待填写",IF(OR(B78="",C78="",NOT(ISNUMBER(H78)),NOT(ISNUMBER(I78)),NOT(ISNUMBER(J78)),K78="",NOT(ISNUMBER(L78)),M78="",N78="",O78="",Q78="",R78="",S78="",T78=""),"请补全必填",IF(COUNTIF($B$5:$B$104,B78)&gt;1,"ID重复",IF(COUNTIF('珠子SKU'!$C$5:$C$104,C78)=0,"关联不存在",IF(OR(ISNA(MATCH(K78,'_枚举'!$H$2:$H$5,0)),ISNA(MATCH(M78,'_枚举'!$G$2:$G$3,0)),ISNA(MATCH(N78,'_枚举'!$A$2:$A$4,0)),ISNA(MATCH(O78,'_枚举'!$B$2:$B$5,0)),ISNA(MATCH(Q78,'_枚举'!$C$2:$C$3,0)),ISNA(MATCH(R78,'_枚举'!$C$2:$C$3,0)),ISNA(MATCH(S78,'_枚举'!$C$2:$C$3,0)),ISNA(MATCH(T78,'_枚举'!$I$2:$I$5,0))),"枚举错误",IF(OR(AND(F78&lt;&gt;"",NOT(ISNUMBER(F78))),AND(G78&lt;&gt;"",NOT(ISNUMBER(G78))),NOT(ISNUMBER(H78)),H78&lt;0,NOT(ISNUMBER(I78)),I78&lt;0,NOT(ISNUMBER(J78)),J78&lt;0,I78+J78&gt;H78,NOT(ISNUMBER(L78)),L78&lt;0),"格式错误",IF(AND(S78="TRUE",OR(Q78&lt;&gt;"TRUE",R78&lt;&gt;"TRUE",N78="UNKNOWN",T78&lt;&gt;"PASSED")),"待人工复核","可导入")))))))</f>
        <v/>
      </c>
      <c r="B78" s="125" t="n"/>
      <c r="C78" s="125" t="n"/>
      <c r="D78" s="125" t="n"/>
      <c r="E78" s="125" t="n"/>
      <c r="F78" s="135" t="n"/>
      <c r="G78" s="135" t="n"/>
      <c r="H78" s="127" t="n"/>
      <c r="I78" s="127" t="n"/>
      <c r="J78" s="127" t="n"/>
      <c r="K78" s="127" t="n"/>
      <c r="L78" s="127" t="n"/>
      <c r="M78" s="127" t="n"/>
      <c r="N78" s="125" t="n"/>
      <c r="O78" s="125" t="n"/>
      <c r="P78" s="125" t="n"/>
      <c r="Q78" s="127" t="n"/>
      <c r="R78" s="125" t="n"/>
      <c r="S78" s="125" t="n"/>
      <c r="T78" s="125" t="n"/>
      <c r="U78" s="125" t="n"/>
    </row>
    <row r="79">
      <c r="A79" s="118">
        <f>IF(COUNTA(B79:U79)=0,"待填写",IF(OR(B79="",C79="",NOT(ISNUMBER(H79)),NOT(ISNUMBER(I79)),NOT(ISNUMBER(J79)),K79="",NOT(ISNUMBER(L79)),M79="",N79="",O79="",Q79="",R79="",S79="",T79=""),"请补全必填",IF(COUNTIF($B$5:$B$104,B79)&gt;1,"ID重复",IF(COUNTIF('珠子SKU'!$C$5:$C$104,C79)=0,"关联不存在",IF(OR(ISNA(MATCH(K79,'_枚举'!$H$2:$H$5,0)),ISNA(MATCH(M79,'_枚举'!$G$2:$G$3,0)),ISNA(MATCH(N79,'_枚举'!$A$2:$A$4,0)),ISNA(MATCH(O79,'_枚举'!$B$2:$B$5,0)),ISNA(MATCH(Q79,'_枚举'!$C$2:$C$3,0)),ISNA(MATCH(R79,'_枚举'!$C$2:$C$3,0)),ISNA(MATCH(S79,'_枚举'!$C$2:$C$3,0)),ISNA(MATCH(T79,'_枚举'!$I$2:$I$5,0))),"枚举错误",IF(OR(AND(F79&lt;&gt;"",NOT(ISNUMBER(F79))),AND(G79&lt;&gt;"",NOT(ISNUMBER(G79))),NOT(ISNUMBER(H79)),H79&lt;0,NOT(ISNUMBER(I79)),I79&lt;0,NOT(ISNUMBER(J79)),J79&lt;0,I79+J79&gt;H79,NOT(ISNUMBER(L79)),L79&lt;0),"格式错误",IF(AND(S79="TRUE",OR(Q79&lt;&gt;"TRUE",R79&lt;&gt;"TRUE",N79="UNKNOWN",T79&lt;&gt;"PASSED")),"待人工复核","可导入")))))))</f>
        <v/>
      </c>
      <c r="B79" s="125" t="n"/>
      <c r="C79" s="125" t="n"/>
      <c r="D79" s="125" t="n"/>
      <c r="E79" s="125" t="n"/>
      <c r="F79" s="135" t="n"/>
      <c r="G79" s="135" t="n"/>
      <c r="H79" s="127" t="n"/>
      <c r="I79" s="127" t="n"/>
      <c r="J79" s="127" t="n"/>
      <c r="K79" s="127" t="n"/>
      <c r="L79" s="127" t="n"/>
      <c r="M79" s="127" t="n"/>
      <c r="N79" s="125" t="n"/>
      <c r="O79" s="125" t="n"/>
      <c r="P79" s="125" t="n"/>
      <c r="Q79" s="127" t="n"/>
      <c r="R79" s="125" t="n"/>
      <c r="S79" s="125" t="n"/>
      <c r="T79" s="125" t="n"/>
      <c r="U79" s="125" t="n"/>
    </row>
    <row r="80">
      <c r="A80" s="118">
        <f>IF(COUNTA(B80:U80)=0,"待填写",IF(OR(B80="",C80="",NOT(ISNUMBER(H80)),NOT(ISNUMBER(I80)),NOT(ISNUMBER(J80)),K80="",NOT(ISNUMBER(L80)),M80="",N80="",O80="",Q80="",R80="",S80="",T80=""),"请补全必填",IF(COUNTIF($B$5:$B$104,B80)&gt;1,"ID重复",IF(COUNTIF('珠子SKU'!$C$5:$C$104,C80)=0,"关联不存在",IF(OR(ISNA(MATCH(K80,'_枚举'!$H$2:$H$5,0)),ISNA(MATCH(M80,'_枚举'!$G$2:$G$3,0)),ISNA(MATCH(N80,'_枚举'!$A$2:$A$4,0)),ISNA(MATCH(O80,'_枚举'!$B$2:$B$5,0)),ISNA(MATCH(Q80,'_枚举'!$C$2:$C$3,0)),ISNA(MATCH(R80,'_枚举'!$C$2:$C$3,0)),ISNA(MATCH(S80,'_枚举'!$C$2:$C$3,0)),ISNA(MATCH(T80,'_枚举'!$I$2:$I$5,0))),"枚举错误",IF(OR(AND(F80&lt;&gt;"",NOT(ISNUMBER(F80))),AND(G80&lt;&gt;"",NOT(ISNUMBER(G80))),NOT(ISNUMBER(H80)),H80&lt;0,NOT(ISNUMBER(I80)),I80&lt;0,NOT(ISNUMBER(J80)),J80&lt;0,I80+J80&gt;H80,NOT(ISNUMBER(L80)),L80&lt;0),"格式错误",IF(AND(S80="TRUE",OR(Q80&lt;&gt;"TRUE",R80&lt;&gt;"TRUE",N80="UNKNOWN",T80&lt;&gt;"PASSED")),"待人工复核","可导入")))))))</f>
        <v/>
      </c>
      <c r="B80" s="125" t="n"/>
      <c r="C80" s="125" t="n"/>
      <c r="D80" s="125" t="n"/>
      <c r="E80" s="125" t="n"/>
      <c r="F80" s="135" t="n"/>
      <c r="G80" s="135" t="n"/>
      <c r="H80" s="127" t="n"/>
      <c r="I80" s="127" t="n"/>
      <c r="J80" s="127" t="n"/>
      <c r="K80" s="127" t="n"/>
      <c r="L80" s="127" t="n"/>
      <c r="M80" s="127" t="n"/>
      <c r="N80" s="125" t="n"/>
      <c r="O80" s="125" t="n"/>
      <c r="P80" s="125" t="n"/>
      <c r="Q80" s="127" t="n"/>
      <c r="R80" s="125" t="n"/>
      <c r="S80" s="125" t="n"/>
      <c r="T80" s="125" t="n"/>
      <c r="U80" s="125" t="n"/>
    </row>
    <row r="81">
      <c r="A81" s="118">
        <f>IF(COUNTA(B81:U81)=0,"待填写",IF(OR(B81="",C81="",NOT(ISNUMBER(H81)),NOT(ISNUMBER(I81)),NOT(ISNUMBER(J81)),K81="",NOT(ISNUMBER(L81)),M81="",N81="",O81="",Q81="",R81="",S81="",T81=""),"请补全必填",IF(COUNTIF($B$5:$B$104,B81)&gt;1,"ID重复",IF(COUNTIF('珠子SKU'!$C$5:$C$104,C81)=0,"关联不存在",IF(OR(ISNA(MATCH(K81,'_枚举'!$H$2:$H$5,0)),ISNA(MATCH(M81,'_枚举'!$G$2:$G$3,0)),ISNA(MATCH(N81,'_枚举'!$A$2:$A$4,0)),ISNA(MATCH(O81,'_枚举'!$B$2:$B$5,0)),ISNA(MATCH(Q81,'_枚举'!$C$2:$C$3,0)),ISNA(MATCH(R81,'_枚举'!$C$2:$C$3,0)),ISNA(MATCH(S81,'_枚举'!$C$2:$C$3,0)),ISNA(MATCH(T81,'_枚举'!$I$2:$I$5,0))),"枚举错误",IF(OR(AND(F81&lt;&gt;"",NOT(ISNUMBER(F81))),AND(G81&lt;&gt;"",NOT(ISNUMBER(G81))),NOT(ISNUMBER(H81)),H81&lt;0,NOT(ISNUMBER(I81)),I81&lt;0,NOT(ISNUMBER(J81)),J81&lt;0,I81+J81&gt;H81,NOT(ISNUMBER(L81)),L81&lt;0),"格式错误",IF(AND(S81="TRUE",OR(Q81&lt;&gt;"TRUE",R81&lt;&gt;"TRUE",N81="UNKNOWN",T81&lt;&gt;"PASSED")),"待人工复核","可导入")))))))</f>
        <v/>
      </c>
      <c r="B81" s="125" t="n"/>
      <c r="C81" s="125" t="n"/>
      <c r="D81" s="125" t="n"/>
      <c r="E81" s="125" t="n"/>
      <c r="F81" s="135" t="n"/>
      <c r="G81" s="135" t="n"/>
      <c r="H81" s="127" t="n"/>
      <c r="I81" s="127" t="n"/>
      <c r="J81" s="127" t="n"/>
      <c r="K81" s="127" t="n"/>
      <c r="L81" s="127" t="n"/>
      <c r="M81" s="127" t="n"/>
      <c r="N81" s="125" t="n"/>
      <c r="O81" s="125" t="n"/>
      <c r="P81" s="125" t="n"/>
      <c r="Q81" s="127" t="n"/>
      <c r="R81" s="125" t="n"/>
      <c r="S81" s="125" t="n"/>
      <c r="T81" s="125" t="n"/>
      <c r="U81" s="125" t="n"/>
    </row>
    <row r="82">
      <c r="A82" s="118">
        <f>IF(COUNTA(B82:U82)=0,"待填写",IF(OR(B82="",C82="",NOT(ISNUMBER(H82)),NOT(ISNUMBER(I82)),NOT(ISNUMBER(J82)),K82="",NOT(ISNUMBER(L82)),M82="",N82="",O82="",Q82="",R82="",S82="",T82=""),"请补全必填",IF(COUNTIF($B$5:$B$104,B82)&gt;1,"ID重复",IF(COUNTIF('珠子SKU'!$C$5:$C$104,C82)=0,"关联不存在",IF(OR(ISNA(MATCH(K82,'_枚举'!$H$2:$H$5,0)),ISNA(MATCH(M82,'_枚举'!$G$2:$G$3,0)),ISNA(MATCH(N82,'_枚举'!$A$2:$A$4,0)),ISNA(MATCH(O82,'_枚举'!$B$2:$B$5,0)),ISNA(MATCH(Q82,'_枚举'!$C$2:$C$3,0)),ISNA(MATCH(R82,'_枚举'!$C$2:$C$3,0)),ISNA(MATCH(S82,'_枚举'!$C$2:$C$3,0)),ISNA(MATCH(T82,'_枚举'!$I$2:$I$5,0))),"枚举错误",IF(OR(AND(F82&lt;&gt;"",NOT(ISNUMBER(F82))),AND(G82&lt;&gt;"",NOT(ISNUMBER(G82))),NOT(ISNUMBER(H82)),H82&lt;0,NOT(ISNUMBER(I82)),I82&lt;0,NOT(ISNUMBER(J82)),J82&lt;0,I82+J82&gt;H82,NOT(ISNUMBER(L82)),L82&lt;0),"格式错误",IF(AND(S82="TRUE",OR(Q82&lt;&gt;"TRUE",R82&lt;&gt;"TRUE",N82="UNKNOWN",T82&lt;&gt;"PASSED")),"待人工复核","可导入")))))))</f>
        <v/>
      </c>
      <c r="B82" s="125" t="n"/>
      <c r="C82" s="125" t="n"/>
      <c r="D82" s="125" t="n"/>
      <c r="E82" s="125" t="n"/>
      <c r="F82" s="135" t="n"/>
      <c r="G82" s="135" t="n"/>
      <c r="H82" s="127" t="n"/>
      <c r="I82" s="127" t="n"/>
      <c r="J82" s="127" t="n"/>
      <c r="K82" s="127" t="n"/>
      <c r="L82" s="127" t="n"/>
      <c r="M82" s="127" t="n"/>
      <c r="N82" s="125" t="n"/>
      <c r="O82" s="125" t="n"/>
      <c r="P82" s="125" t="n"/>
      <c r="Q82" s="127" t="n"/>
      <c r="R82" s="125" t="n"/>
      <c r="S82" s="125" t="n"/>
      <c r="T82" s="125" t="n"/>
      <c r="U82" s="125" t="n"/>
    </row>
    <row r="83">
      <c r="A83" s="118">
        <f>IF(COUNTA(B83:U83)=0,"待填写",IF(OR(B83="",C83="",NOT(ISNUMBER(H83)),NOT(ISNUMBER(I83)),NOT(ISNUMBER(J83)),K83="",NOT(ISNUMBER(L83)),M83="",N83="",O83="",Q83="",R83="",S83="",T83=""),"请补全必填",IF(COUNTIF($B$5:$B$104,B83)&gt;1,"ID重复",IF(COUNTIF('珠子SKU'!$C$5:$C$104,C83)=0,"关联不存在",IF(OR(ISNA(MATCH(K83,'_枚举'!$H$2:$H$5,0)),ISNA(MATCH(M83,'_枚举'!$G$2:$G$3,0)),ISNA(MATCH(N83,'_枚举'!$A$2:$A$4,0)),ISNA(MATCH(O83,'_枚举'!$B$2:$B$5,0)),ISNA(MATCH(Q83,'_枚举'!$C$2:$C$3,0)),ISNA(MATCH(R83,'_枚举'!$C$2:$C$3,0)),ISNA(MATCH(S83,'_枚举'!$C$2:$C$3,0)),ISNA(MATCH(T83,'_枚举'!$I$2:$I$5,0))),"枚举错误",IF(OR(AND(F83&lt;&gt;"",NOT(ISNUMBER(F83))),AND(G83&lt;&gt;"",NOT(ISNUMBER(G83))),NOT(ISNUMBER(H83)),H83&lt;0,NOT(ISNUMBER(I83)),I83&lt;0,NOT(ISNUMBER(J83)),J83&lt;0,I83+J83&gt;H83,NOT(ISNUMBER(L83)),L83&lt;0),"格式错误",IF(AND(S83="TRUE",OR(Q83&lt;&gt;"TRUE",R83&lt;&gt;"TRUE",N83="UNKNOWN",T83&lt;&gt;"PASSED")),"待人工复核","可导入")))))))</f>
        <v/>
      </c>
      <c r="B83" s="125" t="n"/>
      <c r="C83" s="125" t="n"/>
      <c r="D83" s="125" t="n"/>
      <c r="E83" s="125" t="n"/>
      <c r="F83" s="135" t="n"/>
      <c r="G83" s="135" t="n"/>
      <c r="H83" s="127" t="n"/>
      <c r="I83" s="127" t="n"/>
      <c r="J83" s="127" t="n"/>
      <c r="K83" s="127" t="n"/>
      <c r="L83" s="127" t="n"/>
      <c r="M83" s="127" t="n"/>
      <c r="N83" s="125" t="n"/>
      <c r="O83" s="125" t="n"/>
      <c r="P83" s="125" t="n"/>
      <c r="Q83" s="127" t="n"/>
      <c r="R83" s="125" t="n"/>
      <c r="S83" s="125" t="n"/>
      <c r="T83" s="125" t="n"/>
      <c r="U83" s="125" t="n"/>
    </row>
    <row r="84">
      <c r="A84" s="118">
        <f>IF(COUNTA(B84:U84)=0,"待填写",IF(OR(B84="",C84="",NOT(ISNUMBER(H84)),NOT(ISNUMBER(I84)),NOT(ISNUMBER(J84)),K84="",NOT(ISNUMBER(L84)),M84="",N84="",O84="",Q84="",R84="",S84="",T84=""),"请补全必填",IF(COUNTIF($B$5:$B$104,B84)&gt;1,"ID重复",IF(COUNTIF('珠子SKU'!$C$5:$C$104,C84)=0,"关联不存在",IF(OR(ISNA(MATCH(K84,'_枚举'!$H$2:$H$5,0)),ISNA(MATCH(M84,'_枚举'!$G$2:$G$3,0)),ISNA(MATCH(N84,'_枚举'!$A$2:$A$4,0)),ISNA(MATCH(O84,'_枚举'!$B$2:$B$5,0)),ISNA(MATCH(Q84,'_枚举'!$C$2:$C$3,0)),ISNA(MATCH(R84,'_枚举'!$C$2:$C$3,0)),ISNA(MATCH(S84,'_枚举'!$C$2:$C$3,0)),ISNA(MATCH(T84,'_枚举'!$I$2:$I$5,0))),"枚举错误",IF(OR(AND(F84&lt;&gt;"",NOT(ISNUMBER(F84))),AND(G84&lt;&gt;"",NOT(ISNUMBER(G84))),NOT(ISNUMBER(H84)),H84&lt;0,NOT(ISNUMBER(I84)),I84&lt;0,NOT(ISNUMBER(J84)),J84&lt;0,I84+J84&gt;H84,NOT(ISNUMBER(L84)),L84&lt;0),"格式错误",IF(AND(S84="TRUE",OR(Q84&lt;&gt;"TRUE",R84&lt;&gt;"TRUE",N84="UNKNOWN",T84&lt;&gt;"PASSED")),"待人工复核","可导入")))))))</f>
        <v/>
      </c>
      <c r="B84" s="125" t="n"/>
      <c r="C84" s="125" t="n"/>
      <c r="D84" s="125" t="n"/>
      <c r="E84" s="125" t="n"/>
      <c r="F84" s="135" t="n"/>
      <c r="G84" s="135" t="n"/>
      <c r="H84" s="127" t="n"/>
      <c r="I84" s="127" t="n"/>
      <c r="J84" s="127" t="n"/>
      <c r="K84" s="127" t="n"/>
      <c r="L84" s="127" t="n"/>
      <c r="M84" s="127" t="n"/>
      <c r="N84" s="125" t="n"/>
      <c r="O84" s="125" t="n"/>
      <c r="P84" s="125" t="n"/>
      <c r="Q84" s="127" t="n"/>
      <c r="R84" s="125" t="n"/>
      <c r="S84" s="125" t="n"/>
      <c r="T84" s="125" t="n"/>
      <c r="U84" s="125" t="n"/>
    </row>
    <row r="85">
      <c r="A85" s="118">
        <f>IF(COUNTA(B85:U85)=0,"待填写",IF(OR(B85="",C85="",NOT(ISNUMBER(H85)),NOT(ISNUMBER(I85)),NOT(ISNUMBER(J85)),K85="",NOT(ISNUMBER(L85)),M85="",N85="",O85="",Q85="",R85="",S85="",T85=""),"请补全必填",IF(COUNTIF($B$5:$B$104,B85)&gt;1,"ID重复",IF(COUNTIF('珠子SKU'!$C$5:$C$104,C85)=0,"关联不存在",IF(OR(ISNA(MATCH(K85,'_枚举'!$H$2:$H$5,0)),ISNA(MATCH(M85,'_枚举'!$G$2:$G$3,0)),ISNA(MATCH(N85,'_枚举'!$A$2:$A$4,0)),ISNA(MATCH(O85,'_枚举'!$B$2:$B$5,0)),ISNA(MATCH(Q85,'_枚举'!$C$2:$C$3,0)),ISNA(MATCH(R85,'_枚举'!$C$2:$C$3,0)),ISNA(MATCH(S85,'_枚举'!$C$2:$C$3,0)),ISNA(MATCH(T85,'_枚举'!$I$2:$I$5,0))),"枚举错误",IF(OR(AND(F85&lt;&gt;"",NOT(ISNUMBER(F85))),AND(G85&lt;&gt;"",NOT(ISNUMBER(G85))),NOT(ISNUMBER(H85)),H85&lt;0,NOT(ISNUMBER(I85)),I85&lt;0,NOT(ISNUMBER(J85)),J85&lt;0,I85+J85&gt;H85,NOT(ISNUMBER(L85)),L85&lt;0),"格式错误",IF(AND(S85="TRUE",OR(Q85&lt;&gt;"TRUE",R85&lt;&gt;"TRUE",N85="UNKNOWN",T85&lt;&gt;"PASSED")),"待人工复核","可导入")))))))</f>
        <v/>
      </c>
      <c r="B85" s="125" t="n"/>
      <c r="C85" s="125" t="n"/>
      <c r="D85" s="125" t="n"/>
      <c r="E85" s="125" t="n"/>
      <c r="F85" s="135" t="n"/>
      <c r="G85" s="135" t="n"/>
      <c r="H85" s="127" t="n"/>
      <c r="I85" s="127" t="n"/>
      <c r="J85" s="127" t="n"/>
      <c r="K85" s="127" t="n"/>
      <c r="L85" s="127" t="n"/>
      <c r="M85" s="127" t="n"/>
      <c r="N85" s="125" t="n"/>
      <c r="O85" s="125" t="n"/>
      <c r="P85" s="125" t="n"/>
      <c r="Q85" s="127" t="n"/>
      <c r="R85" s="125" t="n"/>
      <c r="S85" s="125" t="n"/>
      <c r="T85" s="125" t="n"/>
      <c r="U85" s="125" t="n"/>
    </row>
    <row r="86">
      <c r="A86" s="118">
        <f>IF(COUNTA(B86:U86)=0,"待填写",IF(OR(B86="",C86="",NOT(ISNUMBER(H86)),NOT(ISNUMBER(I86)),NOT(ISNUMBER(J86)),K86="",NOT(ISNUMBER(L86)),M86="",N86="",O86="",Q86="",R86="",S86="",T86=""),"请补全必填",IF(COUNTIF($B$5:$B$104,B86)&gt;1,"ID重复",IF(COUNTIF('珠子SKU'!$C$5:$C$104,C86)=0,"关联不存在",IF(OR(ISNA(MATCH(K86,'_枚举'!$H$2:$H$5,0)),ISNA(MATCH(M86,'_枚举'!$G$2:$G$3,0)),ISNA(MATCH(N86,'_枚举'!$A$2:$A$4,0)),ISNA(MATCH(O86,'_枚举'!$B$2:$B$5,0)),ISNA(MATCH(Q86,'_枚举'!$C$2:$C$3,0)),ISNA(MATCH(R86,'_枚举'!$C$2:$C$3,0)),ISNA(MATCH(S86,'_枚举'!$C$2:$C$3,0)),ISNA(MATCH(T86,'_枚举'!$I$2:$I$5,0))),"枚举错误",IF(OR(AND(F86&lt;&gt;"",NOT(ISNUMBER(F86))),AND(G86&lt;&gt;"",NOT(ISNUMBER(G86))),NOT(ISNUMBER(H86)),H86&lt;0,NOT(ISNUMBER(I86)),I86&lt;0,NOT(ISNUMBER(J86)),J86&lt;0,I86+J86&gt;H86,NOT(ISNUMBER(L86)),L86&lt;0),"格式错误",IF(AND(S86="TRUE",OR(Q86&lt;&gt;"TRUE",R86&lt;&gt;"TRUE",N86="UNKNOWN",T86&lt;&gt;"PASSED")),"待人工复核","可导入")))))))</f>
        <v/>
      </c>
      <c r="B86" s="125" t="n"/>
      <c r="C86" s="125" t="n"/>
      <c r="D86" s="125" t="n"/>
      <c r="E86" s="125" t="n"/>
      <c r="F86" s="135" t="n"/>
      <c r="G86" s="135" t="n"/>
      <c r="H86" s="127" t="n"/>
      <c r="I86" s="127" t="n"/>
      <c r="J86" s="127" t="n"/>
      <c r="K86" s="127" t="n"/>
      <c r="L86" s="127" t="n"/>
      <c r="M86" s="127" t="n"/>
      <c r="N86" s="125" t="n"/>
      <c r="O86" s="125" t="n"/>
      <c r="P86" s="125" t="n"/>
      <c r="Q86" s="127" t="n"/>
      <c r="R86" s="125" t="n"/>
      <c r="S86" s="125" t="n"/>
      <c r="T86" s="125" t="n"/>
      <c r="U86" s="125" t="n"/>
    </row>
    <row r="87">
      <c r="A87" s="118">
        <f>IF(COUNTA(B87:U87)=0,"待填写",IF(OR(B87="",C87="",NOT(ISNUMBER(H87)),NOT(ISNUMBER(I87)),NOT(ISNUMBER(J87)),K87="",NOT(ISNUMBER(L87)),M87="",N87="",O87="",Q87="",R87="",S87="",T87=""),"请补全必填",IF(COUNTIF($B$5:$B$104,B87)&gt;1,"ID重复",IF(COUNTIF('珠子SKU'!$C$5:$C$104,C87)=0,"关联不存在",IF(OR(ISNA(MATCH(K87,'_枚举'!$H$2:$H$5,0)),ISNA(MATCH(M87,'_枚举'!$G$2:$G$3,0)),ISNA(MATCH(N87,'_枚举'!$A$2:$A$4,0)),ISNA(MATCH(O87,'_枚举'!$B$2:$B$5,0)),ISNA(MATCH(Q87,'_枚举'!$C$2:$C$3,0)),ISNA(MATCH(R87,'_枚举'!$C$2:$C$3,0)),ISNA(MATCH(S87,'_枚举'!$C$2:$C$3,0)),ISNA(MATCH(T87,'_枚举'!$I$2:$I$5,0))),"枚举错误",IF(OR(AND(F87&lt;&gt;"",NOT(ISNUMBER(F87))),AND(G87&lt;&gt;"",NOT(ISNUMBER(G87))),NOT(ISNUMBER(H87)),H87&lt;0,NOT(ISNUMBER(I87)),I87&lt;0,NOT(ISNUMBER(J87)),J87&lt;0,I87+J87&gt;H87,NOT(ISNUMBER(L87)),L87&lt;0),"格式错误",IF(AND(S87="TRUE",OR(Q87&lt;&gt;"TRUE",R87&lt;&gt;"TRUE",N87="UNKNOWN",T87&lt;&gt;"PASSED")),"待人工复核","可导入")))))))</f>
        <v/>
      </c>
      <c r="B87" s="125" t="n"/>
      <c r="C87" s="125" t="n"/>
      <c r="D87" s="125" t="n"/>
      <c r="E87" s="125" t="n"/>
      <c r="F87" s="135" t="n"/>
      <c r="G87" s="135" t="n"/>
      <c r="H87" s="127" t="n"/>
      <c r="I87" s="127" t="n"/>
      <c r="J87" s="127" t="n"/>
      <c r="K87" s="127" t="n"/>
      <c r="L87" s="127" t="n"/>
      <c r="M87" s="127" t="n"/>
      <c r="N87" s="125" t="n"/>
      <c r="O87" s="125" t="n"/>
      <c r="P87" s="125" t="n"/>
      <c r="Q87" s="127" t="n"/>
      <c r="R87" s="125" t="n"/>
      <c r="S87" s="125" t="n"/>
      <c r="T87" s="125" t="n"/>
      <c r="U87" s="125" t="n"/>
    </row>
    <row r="88">
      <c r="A88" s="118">
        <f>IF(COUNTA(B88:U88)=0,"待填写",IF(OR(B88="",C88="",NOT(ISNUMBER(H88)),NOT(ISNUMBER(I88)),NOT(ISNUMBER(J88)),K88="",NOT(ISNUMBER(L88)),M88="",N88="",O88="",Q88="",R88="",S88="",T88=""),"请补全必填",IF(COUNTIF($B$5:$B$104,B88)&gt;1,"ID重复",IF(COUNTIF('珠子SKU'!$C$5:$C$104,C88)=0,"关联不存在",IF(OR(ISNA(MATCH(K88,'_枚举'!$H$2:$H$5,0)),ISNA(MATCH(M88,'_枚举'!$G$2:$G$3,0)),ISNA(MATCH(N88,'_枚举'!$A$2:$A$4,0)),ISNA(MATCH(O88,'_枚举'!$B$2:$B$5,0)),ISNA(MATCH(Q88,'_枚举'!$C$2:$C$3,0)),ISNA(MATCH(R88,'_枚举'!$C$2:$C$3,0)),ISNA(MATCH(S88,'_枚举'!$C$2:$C$3,0)),ISNA(MATCH(T88,'_枚举'!$I$2:$I$5,0))),"枚举错误",IF(OR(AND(F88&lt;&gt;"",NOT(ISNUMBER(F88))),AND(G88&lt;&gt;"",NOT(ISNUMBER(G88))),NOT(ISNUMBER(H88)),H88&lt;0,NOT(ISNUMBER(I88)),I88&lt;0,NOT(ISNUMBER(J88)),J88&lt;0,I88+J88&gt;H88,NOT(ISNUMBER(L88)),L88&lt;0),"格式错误",IF(AND(S88="TRUE",OR(Q88&lt;&gt;"TRUE",R88&lt;&gt;"TRUE",N88="UNKNOWN",T88&lt;&gt;"PASSED")),"待人工复核","可导入")))))))</f>
        <v/>
      </c>
      <c r="B88" s="125" t="n"/>
      <c r="C88" s="125" t="n"/>
      <c r="D88" s="125" t="n"/>
      <c r="E88" s="125" t="n"/>
      <c r="F88" s="135" t="n"/>
      <c r="G88" s="135" t="n"/>
      <c r="H88" s="127" t="n"/>
      <c r="I88" s="127" t="n"/>
      <c r="J88" s="127" t="n"/>
      <c r="K88" s="127" t="n"/>
      <c r="L88" s="127" t="n"/>
      <c r="M88" s="127" t="n"/>
      <c r="N88" s="125" t="n"/>
      <c r="O88" s="125" t="n"/>
      <c r="P88" s="125" t="n"/>
      <c r="Q88" s="127" t="n"/>
      <c r="R88" s="125" t="n"/>
      <c r="S88" s="125" t="n"/>
      <c r="T88" s="125" t="n"/>
      <c r="U88" s="125" t="n"/>
    </row>
    <row r="89">
      <c r="A89" s="118">
        <f>IF(COUNTA(B89:U89)=0,"待填写",IF(OR(B89="",C89="",NOT(ISNUMBER(H89)),NOT(ISNUMBER(I89)),NOT(ISNUMBER(J89)),K89="",NOT(ISNUMBER(L89)),M89="",N89="",O89="",Q89="",R89="",S89="",T89=""),"请补全必填",IF(COUNTIF($B$5:$B$104,B89)&gt;1,"ID重复",IF(COUNTIF('珠子SKU'!$C$5:$C$104,C89)=0,"关联不存在",IF(OR(ISNA(MATCH(K89,'_枚举'!$H$2:$H$5,0)),ISNA(MATCH(M89,'_枚举'!$G$2:$G$3,0)),ISNA(MATCH(N89,'_枚举'!$A$2:$A$4,0)),ISNA(MATCH(O89,'_枚举'!$B$2:$B$5,0)),ISNA(MATCH(Q89,'_枚举'!$C$2:$C$3,0)),ISNA(MATCH(R89,'_枚举'!$C$2:$C$3,0)),ISNA(MATCH(S89,'_枚举'!$C$2:$C$3,0)),ISNA(MATCH(T89,'_枚举'!$I$2:$I$5,0))),"枚举错误",IF(OR(AND(F89&lt;&gt;"",NOT(ISNUMBER(F89))),AND(G89&lt;&gt;"",NOT(ISNUMBER(G89))),NOT(ISNUMBER(H89)),H89&lt;0,NOT(ISNUMBER(I89)),I89&lt;0,NOT(ISNUMBER(J89)),J89&lt;0,I89+J89&gt;H89,NOT(ISNUMBER(L89)),L89&lt;0),"格式错误",IF(AND(S89="TRUE",OR(Q89&lt;&gt;"TRUE",R89&lt;&gt;"TRUE",N89="UNKNOWN",T89&lt;&gt;"PASSED")),"待人工复核","可导入")))))))</f>
        <v/>
      </c>
      <c r="B89" s="125" t="n"/>
      <c r="C89" s="125" t="n"/>
      <c r="D89" s="125" t="n"/>
      <c r="E89" s="125" t="n"/>
      <c r="F89" s="135" t="n"/>
      <c r="G89" s="135" t="n"/>
      <c r="H89" s="127" t="n"/>
      <c r="I89" s="127" t="n"/>
      <c r="J89" s="127" t="n"/>
      <c r="K89" s="127" t="n"/>
      <c r="L89" s="127" t="n"/>
      <c r="M89" s="127" t="n"/>
      <c r="N89" s="125" t="n"/>
      <c r="O89" s="125" t="n"/>
      <c r="P89" s="125" t="n"/>
      <c r="Q89" s="127" t="n"/>
      <c r="R89" s="125" t="n"/>
      <c r="S89" s="125" t="n"/>
      <c r="T89" s="125" t="n"/>
      <c r="U89" s="125" t="n"/>
    </row>
    <row r="90">
      <c r="A90" s="118">
        <f>IF(COUNTA(B90:U90)=0,"待填写",IF(OR(B90="",C90="",NOT(ISNUMBER(H90)),NOT(ISNUMBER(I90)),NOT(ISNUMBER(J90)),K90="",NOT(ISNUMBER(L90)),M90="",N90="",O90="",Q90="",R90="",S90="",T90=""),"请补全必填",IF(COUNTIF($B$5:$B$104,B90)&gt;1,"ID重复",IF(COUNTIF('珠子SKU'!$C$5:$C$104,C90)=0,"关联不存在",IF(OR(ISNA(MATCH(K90,'_枚举'!$H$2:$H$5,0)),ISNA(MATCH(M90,'_枚举'!$G$2:$G$3,0)),ISNA(MATCH(N90,'_枚举'!$A$2:$A$4,0)),ISNA(MATCH(O90,'_枚举'!$B$2:$B$5,0)),ISNA(MATCH(Q90,'_枚举'!$C$2:$C$3,0)),ISNA(MATCH(R90,'_枚举'!$C$2:$C$3,0)),ISNA(MATCH(S90,'_枚举'!$C$2:$C$3,0)),ISNA(MATCH(T90,'_枚举'!$I$2:$I$5,0))),"枚举错误",IF(OR(AND(F90&lt;&gt;"",NOT(ISNUMBER(F90))),AND(G90&lt;&gt;"",NOT(ISNUMBER(G90))),NOT(ISNUMBER(H90)),H90&lt;0,NOT(ISNUMBER(I90)),I90&lt;0,NOT(ISNUMBER(J90)),J90&lt;0,I90+J90&gt;H90,NOT(ISNUMBER(L90)),L90&lt;0),"格式错误",IF(AND(S90="TRUE",OR(Q90&lt;&gt;"TRUE",R90&lt;&gt;"TRUE",N90="UNKNOWN",T90&lt;&gt;"PASSED")),"待人工复核","可导入")))))))</f>
        <v/>
      </c>
      <c r="B90" s="125" t="n"/>
      <c r="C90" s="125" t="n"/>
      <c r="D90" s="125" t="n"/>
      <c r="E90" s="125" t="n"/>
      <c r="F90" s="135" t="n"/>
      <c r="G90" s="135" t="n"/>
      <c r="H90" s="127" t="n"/>
      <c r="I90" s="127" t="n"/>
      <c r="J90" s="127" t="n"/>
      <c r="K90" s="127" t="n"/>
      <c r="L90" s="127" t="n"/>
      <c r="M90" s="127" t="n"/>
      <c r="N90" s="125" t="n"/>
      <c r="O90" s="125" t="n"/>
      <c r="P90" s="125" t="n"/>
      <c r="Q90" s="127" t="n"/>
      <c r="R90" s="125" t="n"/>
      <c r="S90" s="125" t="n"/>
      <c r="T90" s="125" t="n"/>
      <c r="U90" s="125" t="n"/>
    </row>
    <row r="91">
      <c r="A91" s="118">
        <f>IF(COUNTA(B91:U91)=0,"待填写",IF(OR(B91="",C91="",NOT(ISNUMBER(H91)),NOT(ISNUMBER(I91)),NOT(ISNUMBER(J91)),K91="",NOT(ISNUMBER(L91)),M91="",N91="",O91="",Q91="",R91="",S91="",T91=""),"请补全必填",IF(COUNTIF($B$5:$B$104,B91)&gt;1,"ID重复",IF(COUNTIF('珠子SKU'!$C$5:$C$104,C91)=0,"关联不存在",IF(OR(ISNA(MATCH(K91,'_枚举'!$H$2:$H$5,0)),ISNA(MATCH(M91,'_枚举'!$G$2:$G$3,0)),ISNA(MATCH(N91,'_枚举'!$A$2:$A$4,0)),ISNA(MATCH(O91,'_枚举'!$B$2:$B$5,0)),ISNA(MATCH(Q91,'_枚举'!$C$2:$C$3,0)),ISNA(MATCH(R91,'_枚举'!$C$2:$C$3,0)),ISNA(MATCH(S91,'_枚举'!$C$2:$C$3,0)),ISNA(MATCH(T91,'_枚举'!$I$2:$I$5,0))),"枚举错误",IF(OR(AND(F91&lt;&gt;"",NOT(ISNUMBER(F91))),AND(G91&lt;&gt;"",NOT(ISNUMBER(G91))),NOT(ISNUMBER(H91)),H91&lt;0,NOT(ISNUMBER(I91)),I91&lt;0,NOT(ISNUMBER(J91)),J91&lt;0,I91+J91&gt;H91,NOT(ISNUMBER(L91)),L91&lt;0),"格式错误",IF(AND(S91="TRUE",OR(Q91&lt;&gt;"TRUE",R91&lt;&gt;"TRUE",N91="UNKNOWN",T91&lt;&gt;"PASSED")),"待人工复核","可导入")))))))</f>
        <v/>
      </c>
      <c r="B91" s="125" t="n"/>
      <c r="C91" s="125" t="n"/>
      <c r="D91" s="125" t="n"/>
      <c r="E91" s="125" t="n"/>
      <c r="F91" s="135" t="n"/>
      <c r="G91" s="135" t="n"/>
      <c r="H91" s="127" t="n"/>
      <c r="I91" s="127" t="n"/>
      <c r="J91" s="127" t="n"/>
      <c r="K91" s="127" t="n"/>
      <c r="L91" s="127" t="n"/>
      <c r="M91" s="127" t="n"/>
      <c r="N91" s="125" t="n"/>
      <c r="O91" s="125" t="n"/>
      <c r="P91" s="125" t="n"/>
      <c r="Q91" s="127" t="n"/>
      <c r="R91" s="125" t="n"/>
      <c r="S91" s="125" t="n"/>
      <c r="T91" s="125" t="n"/>
      <c r="U91" s="125" t="n"/>
    </row>
    <row r="92">
      <c r="A92" s="118">
        <f>IF(COUNTA(B92:U92)=0,"待填写",IF(OR(B92="",C92="",NOT(ISNUMBER(H92)),NOT(ISNUMBER(I92)),NOT(ISNUMBER(J92)),K92="",NOT(ISNUMBER(L92)),M92="",N92="",O92="",Q92="",R92="",S92="",T92=""),"请补全必填",IF(COUNTIF($B$5:$B$104,B92)&gt;1,"ID重复",IF(COUNTIF('珠子SKU'!$C$5:$C$104,C92)=0,"关联不存在",IF(OR(ISNA(MATCH(K92,'_枚举'!$H$2:$H$5,0)),ISNA(MATCH(M92,'_枚举'!$G$2:$G$3,0)),ISNA(MATCH(N92,'_枚举'!$A$2:$A$4,0)),ISNA(MATCH(O92,'_枚举'!$B$2:$B$5,0)),ISNA(MATCH(Q92,'_枚举'!$C$2:$C$3,0)),ISNA(MATCH(R92,'_枚举'!$C$2:$C$3,0)),ISNA(MATCH(S92,'_枚举'!$C$2:$C$3,0)),ISNA(MATCH(T92,'_枚举'!$I$2:$I$5,0))),"枚举错误",IF(OR(AND(F92&lt;&gt;"",NOT(ISNUMBER(F92))),AND(G92&lt;&gt;"",NOT(ISNUMBER(G92))),NOT(ISNUMBER(H92)),H92&lt;0,NOT(ISNUMBER(I92)),I92&lt;0,NOT(ISNUMBER(J92)),J92&lt;0,I92+J92&gt;H92,NOT(ISNUMBER(L92)),L92&lt;0),"格式错误",IF(AND(S92="TRUE",OR(Q92&lt;&gt;"TRUE",R92&lt;&gt;"TRUE",N92="UNKNOWN",T92&lt;&gt;"PASSED")),"待人工复核","可导入")))))))</f>
        <v/>
      </c>
      <c r="B92" s="125" t="n"/>
      <c r="C92" s="125" t="n"/>
      <c r="D92" s="125" t="n"/>
      <c r="E92" s="125" t="n"/>
      <c r="F92" s="135" t="n"/>
      <c r="G92" s="135" t="n"/>
      <c r="H92" s="127" t="n"/>
      <c r="I92" s="127" t="n"/>
      <c r="J92" s="127" t="n"/>
      <c r="K92" s="127" t="n"/>
      <c r="L92" s="127" t="n"/>
      <c r="M92" s="127" t="n"/>
      <c r="N92" s="125" t="n"/>
      <c r="O92" s="125" t="n"/>
      <c r="P92" s="125" t="n"/>
      <c r="Q92" s="127" t="n"/>
      <c r="R92" s="125" t="n"/>
      <c r="S92" s="125" t="n"/>
      <c r="T92" s="125" t="n"/>
      <c r="U92" s="125" t="n"/>
    </row>
    <row r="93">
      <c r="A93" s="118">
        <f>IF(COUNTA(B93:U93)=0,"待填写",IF(OR(B93="",C93="",NOT(ISNUMBER(H93)),NOT(ISNUMBER(I93)),NOT(ISNUMBER(J93)),K93="",NOT(ISNUMBER(L93)),M93="",N93="",O93="",Q93="",R93="",S93="",T93=""),"请补全必填",IF(COUNTIF($B$5:$B$104,B93)&gt;1,"ID重复",IF(COUNTIF('珠子SKU'!$C$5:$C$104,C93)=0,"关联不存在",IF(OR(ISNA(MATCH(K93,'_枚举'!$H$2:$H$5,0)),ISNA(MATCH(M93,'_枚举'!$G$2:$G$3,0)),ISNA(MATCH(N93,'_枚举'!$A$2:$A$4,0)),ISNA(MATCH(O93,'_枚举'!$B$2:$B$5,0)),ISNA(MATCH(Q93,'_枚举'!$C$2:$C$3,0)),ISNA(MATCH(R93,'_枚举'!$C$2:$C$3,0)),ISNA(MATCH(S93,'_枚举'!$C$2:$C$3,0)),ISNA(MATCH(T93,'_枚举'!$I$2:$I$5,0))),"枚举错误",IF(OR(AND(F93&lt;&gt;"",NOT(ISNUMBER(F93))),AND(G93&lt;&gt;"",NOT(ISNUMBER(G93))),NOT(ISNUMBER(H93)),H93&lt;0,NOT(ISNUMBER(I93)),I93&lt;0,NOT(ISNUMBER(J93)),J93&lt;0,I93+J93&gt;H93,NOT(ISNUMBER(L93)),L93&lt;0),"格式错误",IF(AND(S93="TRUE",OR(Q93&lt;&gt;"TRUE",R93&lt;&gt;"TRUE",N93="UNKNOWN",T93&lt;&gt;"PASSED")),"待人工复核","可导入")))))))</f>
        <v/>
      </c>
      <c r="B93" s="125" t="n"/>
      <c r="C93" s="125" t="n"/>
      <c r="D93" s="125" t="n"/>
      <c r="E93" s="125" t="n"/>
      <c r="F93" s="135" t="n"/>
      <c r="G93" s="135" t="n"/>
      <c r="H93" s="127" t="n"/>
      <c r="I93" s="127" t="n"/>
      <c r="J93" s="127" t="n"/>
      <c r="K93" s="127" t="n"/>
      <c r="L93" s="127" t="n"/>
      <c r="M93" s="127" t="n"/>
      <c r="N93" s="125" t="n"/>
      <c r="O93" s="125" t="n"/>
      <c r="P93" s="125" t="n"/>
      <c r="Q93" s="127" t="n"/>
      <c r="R93" s="125" t="n"/>
      <c r="S93" s="125" t="n"/>
      <c r="T93" s="125" t="n"/>
      <c r="U93" s="125" t="n"/>
    </row>
    <row r="94">
      <c r="A94" s="118">
        <f>IF(COUNTA(B94:U94)=0,"待填写",IF(OR(B94="",C94="",NOT(ISNUMBER(H94)),NOT(ISNUMBER(I94)),NOT(ISNUMBER(J94)),K94="",NOT(ISNUMBER(L94)),M94="",N94="",O94="",Q94="",R94="",S94="",T94=""),"请补全必填",IF(COUNTIF($B$5:$B$104,B94)&gt;1,"ID重复",IF(COUNTIF('珠子SKU'!$C$5:$C$104,C94)=0,"关联不存在",IF(OR(ISNA(MATCH(K94,'_枚举'!$H$2:$H$5,0)),ISNA(MATCH(M94,'_枚举'!$G$2:$G$3,0)),ISNA(MATCH(N94,'_枚举'!$A$2:$A$4,0)),ISNA(MATCH(O94,'_枚举'!$B$2:$B$5,0)),ISNA(MATCH(Q94,'_枚举'!$C$2:$C$3,0)),ISNA(MATCH(R94,'_枚举'!$C$2:$C$3,0)),ISNA(MATCH(S94,'_枚举'!$C$2:$C$3,0)),ISNA(MATCH(T94,'_枚举'!$I$2:$I$5,0))),"枚举错误",IF(OR(AND(F94&lt;&gt;"",NOT(ISNUMBER(F94))),AND(G94&lt;&gt;"",NOT(ISNUMBER(G94))),NOT(ISNUMBER(H94)),H94&lt;0,NOT(ISNUMBER(I94)),I94&lt;0,NOT(ISNUMBER(J94)),J94&lt;0,I94+J94&gt;H94,NOT(ISNUMBER(L94)),L94&lt;0),"格式错误",IF(AND(S94="TRUE",OR(Q94&lt;&gt;"TRUE",R94&lt;&gt;"TRUE",N94="UNKNOWN",T94&lt;&gt;"PASSED")),"待人工复核","可导入")))))))</f>
        <v/>
      </c>
      <c r="B94" s="125" t="n"/>
      <c r="C94" s="125" t="n"/>
      <c r="D94" s="125" t="n"/>
      <c r="E94" s="125" t="n"/>
      <c r="F94" s="135" t="n"/>
      <c r="G94" s="135" t="n"/>
      <c r="H94" s="127" t="n"/>
      <c r="I94" s="127" t="n"/>
      <c r="J94" s="127" t="n"/>
      <c r="K94" s="127" t="n"/>
      <c r="L94" s="127" t="n"/>
      <c r="M94" s="127" t="n"/>
      <c r="N94" s="125" t="n"/>
      <c r="O94" s="125" t="n"/>
      <c r="P94" s="125" t="n"/>
      <c r="Q94" s="127" t="n"/>
      <c r="R94" s="125" t="n"/>
      <c r="S94" s="125" t="n"/>
      <c r="T94" s="125" t="n"/>
      <c r="U94" s="125" t="n"/>
    </row>
    <row r="95">
      <c r="A95" s="118">
        <f>IF(COUNTA(B95:U95)=0,"待填写",IF(OR(B95="",C95="",NOT(ISNUMBER(H95)),NOT(ISNUMBER(I95)),NOT(ISNUMBER(J95)),K95="",NOT(ISNUMBER(L95)),M95="",N95="",O95="",Q95="",R95="",S95="",T95=""),"请补全必填",IF(COUNTIF($B$5:$B$104,B95)&gt;1,"ID重复",IF(COUNTIF('珠子SKU'!$C$5:$C$104,C95)=0,"关联不存在",IF(OR(ISNA(MATCH(K95,'_枚举'!$H$2:$H$5,0)),ISNA(MATCH(M95,'_枚举'!$G$2:$G$3,0)),ISNA(MATCH(N95,'_枚举'!$A$2:$A$4,0)),ISNA(MATCH(O95,'_枚举'!$B$2:$B$5,0)),ISNA(MATCH(Q95,'_枚举'!$C$2:$C$3,0)),ISNA(MATCH(R95,'_枚举'!$C$2:$C$3,0)),ISNA(MATCH(S95,'_枚举'!$C$2:$C$3,0)),ISNA(MATCH(T95,'_枚举'!$I$2:$I$5,0))),"枚举错误",IF(OR(AND(F95&lt;&gt;"",NOT(ISNUMBER(F95))),AND(G95&lt;&gt;"",NOT(ISNUMBER(G95))),NOT(ISNUMBER(H95)),H95&lt;0,NOT(ISNUMBER(I95)),I95&lt;0,NOT(ISNUMBER(J95)),J95&lt;0,I95+J95&gt;H95,NOT(ISNUMBER(L95)),L95&lt;0),"格式错误",IF(AND(S95="TRUE",OR(Q95&lt;&gt;"TRUE",R95&lt;&gt;"TRUE",N95="UNKNOWN",T95&lt;&gt;"PASSED")),"待人工复核","可导入")))))))</f>
        <v/>
      </c>
      <c r="B95" s="125" t="n"/>
      <c r="C95" s="125" t="n"/>
      <c r="D95" s="125" t="n"/>
      <c r="E95" s="125" t="n"/>
      <c r="F95" s="135" t="n"/>
      <c r="G95" s="135" t="n"/>
      <c r="H95" s="127" t="n"/>
      <c r="I95" s="127" t="n"/>
      <c r="J95" s="127" t="n"/>
      <c r="K95" s="127" t="n"/>
      <c r="L95" s="127" t="n"/>
      <c r="M95" s="127" t="n"/>
      <c r="N95" s="125" t="n"/>
      <c r="O95" s="125" t="n"/>
      <c r="P95" s="125" t="n"/>
      <c r="Q95" s="127" t="n"/>
      <c r="R95" s="125" t="n"/>
      <c r="S95" s="125" t="n"/>
      <c r="T95" s="125" t="n"/>
      <c r="U95" s="125" t="n"/>
    </row>
    <row r="96">
      <c r="A96" s="118">
        <f>IF(COUNTA(B96:U96)=0,"待填写",IF(OR(B96="",C96="",NOT(ISNUMBER(H96)),NOT(ISNUMBER(I96)),NOT(ISNUMBER(J96)),K96="",NOT(ISNUMBER(L96)),M96="",N96="",O96="",Q96="",R96="",S96="",T96=""),"请补全必填",IF(COUNTIF($B$5:$B$104,B96)&gt;1,"ID重复",IF(COUNTIF('珠子SKU'!$C$5:$C$104,C96)=0,"关联不存在",IF(OR(ISNA(MATCH(K96,'_枚举'!$H$2:$H$5,0)),ISNA(MATCH(M96,'_枚举'!$G$2:$G$3,0)),ISNA(MATCH(N96,'_枚举'!$A$2:$A$4,0)),ISNA(MATCH(O96,'_枚举'!$B$2:$B$5,0)),ISNA(MATCH(Q96,'_枚举'!$C$2:$C$3,0)),ISNA(MATCH(R96,'_枚举'!$C$2:$C$3,0)),ISNA(MATCH(S96,'_枚举'!$C$2:$C$3,0)),ISNA(MATCH(T96,'_枚举'!$I$2:$I$5,0))),"枚举错误",IF(OR(AND(F96&lt;&gt;"",NOT(ISNUMBER(F96))),AND(G96&lt;&gt;"",NOT(ISNUMBER(G96))),NOT(ISNUMBER(H96)),H96&lt;0,NOT(ISNUMBER(I96)),I96&lt;0,NOT(ISNUMBER(J96)),J96&lt;0,I96+J96&gt;H96,NOT(ISNUMBER(L96)),L96&lt;0),"格式错误",IF(AND(S96="TRUE",OR(Q96&lt;&gt;"TRUE",R96&lt;&gt;"TRUE",N96="UNKNOWN",T96&lt;&gt;"PASSED")),"待人工复核","可导入")))))))</f>
        <v/>
      </c>
      <c r="B96" s="125" t="n"/>
      <c r="C96" s="125" t="n"/>
      <c r="D96" s="125" t="n"/>
      <c r="E96" s="125" t="n"/>
      <c r="F96" s="135" t="n"/>
      <c r="G96" s="135" t="n"/>
      <c r="H96" s="127" t="n"/>
      <c r="I96" s="127" t="n"/>
      <c r="J96" s="127" t="n"/>
      <c r="K96" s="127" t="n"/>
      <c r="L96" s="127" t="n"/>
      <c r="M96" s="127" t="n"/>
      <c r="N96" s="125" t="n"/>
      <c r="O96" s="125" t="n"/>
      <c r="P96" s="125" t="n"/>
      <c r="Q96" s="127" t="n"/>
      <c r="R96" s="125" t="n"/>
      <c r="S96" s="125" t="n"/>
      <c r="T96" s="125" t="n"/>
      <c r="U96" s="125" t="n"/>
    </row>
    <row r="97">
      <c r="A97" s="118">
        <f>IF(COUNTA(B97:U97)=0,"待填写",IF(OR(B97="",C97="",NOT(ISNUMBER(H97)),NOT(ISNUMBER(I97)),NOT(ISNUMBER(J97)),K97="",NOT(ISNUMBER(L97)),M97="",N97="",O97="",Q97="",R97="",S97="",T97=""),"请补全必填",IF(COUNTIF($B$5:$B$104,B97)&gt;1,"ID重复",IF(COUNTIF('珠子SKU'!$C$5:$C$104,C97)=0,"关联不存在",IF(OR(ISNA(MATCH(K97,'_枚举'!$H$2:$H$5,0)),ISNA(MATCH(M97,'_枚举'!$G$2:$G$3,0)),ISNA(MATCH(N97,'_枚举'!$A$2:$A$4,0)),ISNA(MATCH(O97,'_枚举'!$B$2:$B$5,0)),ISNA(MATCH(Q97,'_枚举'!$C$2:$C$3,0)),ISNA(MATCH(R97,'_枚举'!$C$2:$C$3,0)),ISNA(MATCH(S97,'_枚举'!$C$2:$C$3,0)),ISNA(MATCH(T97,'_枚举'!$I$2:$I$5,0))),"枚举错误",IF(OR(AND(F97&lt;&gt;"",NOT(ISNUMBER(F97))),AND(G97&lt;&gt;"",NOT(ISNUMBER(G97))),NOT(ISNUMBER(H97)),H97&lt;0,NOT(ISNUMBER(I97)),I97&lt;0,NOT(ISNUMBER(J97)),J97&lt;0,I97+J97&gt;H97,NOT(ISNUMBER(L97)),L97&lt;0),"格式错误",IF(AND(S97="TRUE",OR(Q97&lt;&gt;"TRUE",R97&lt;&gt;"TRUE",N97="UNKNOWN",T97&lt;&gt;"PASSED")),"待人工复核","可导入")))))))</f>
        <v/>
      </c>
      <c r="B97" s="125" t="n"/>
      <c r="C97" s="125" t="n"/>
      <c r="D97" s="125" t="n"/>
      <c r="E97" s="125" t="n"/>
      <c r="F97" s="135" t="n"/>
      <c r="G97" s="135" t="n"/>
      <c r="H97" s="127" t="n"/>
      <c r="I97" s="127" t="n"/>
      <c r="J97" s="127" t="n"/>
      <c r="K97" s="127" t="n"/>
      <c r="L97" s="127" t="n"/>
      <c r="M97" s="127" t="n"/>
      <c r="N97" s="125" t="n"/>
      <c r="O97" s="125" t="n"/>
      <c r="P97" s="125" t="n"/>
      <c r="Q97" s="127" t="n"/>
      <c r="R97" s="125" t="n"/>
      <c r="S97" s="125" t="n"/>
      <c r="T97" s="125" t="n"/>
      <c r="U97" s="125" t="n"/>
    </row>
    <row r="98">
      <c r="A98" s="118">
        <f>IF(COUNTA(B98:U98)=0,"待填写",IF(OR(B98="",C98="",NOT(ISNUMBER(H98)),NOT(ISNUMBER(I98)),NOT(ISNUMBER(J98)),K98="",NOT(ISNUMBER(L98)),M98="",N98="",O98="",Q98="",R98="",S98="",T98=""),"请补全必填",IF(COUNTIF($B$5:$B$104,B98)&gt;1,"ID重复",IF(COUNTIF('珠子SKU'!$C$5:$C$104,C98)=0,"关联不存在",IF(OR(ISNA(MATCH(K98,'_枚举'!$H$2:$H$5,0)),ISNA(MATCH(M98,'_枚举'!$G$2:$G$3,0)),ISNA(MATCH(N98,'_枚举'!$A$2:$A$4,0)),ISNA(MATCH(O98,'_枚举'!$B$2:$B$5,0)),ISNA(MATCH(Q98,'_枚举'!$C$2:$C$3,0)),ISNA(MATCH(R98,'_枚举'!$C$2:$C$3,0)),ISNA(MATCH(S98,'_枚举'!$C$2:$C$3,0)),ISNA(MATCH(T98,'_枚举'!$I$2:$I$5,0))),"枚举错误",IF(OR(AND(F98&lt;&gt;"",NOT(ISNUMBER(F98))),AND(G98&lt;&gt;"",NOT(ISNUMBER(G98))),NOT(ISNUMBER(H98)),H98&lt;0,NOT(ISNUMBER(I98)),I98&lt;0,NOT(ISNUMBER(J98)),J98&lt;0,I98+J98&gt;H98,NOT(ISNUMBER(L98)),L98&lt;0),"格式错误",IF(AND(S98="TRUE",OR(Q98&lt;&gt;"TRUE",R98&lt;&gt;"TRUE",N98="UNKNOWN",T98&lt;&gt;"PASSED")),"待人工复核","可导入")))))))</f>
        <v/>
      </c>
      <c r="B98" s="125" t="n"/>
      <c r="C98" s="125" t="n"/>
      <c r="D98" s="125" t="n"/>
      <c r="E98" s="125" t="n"/>
      <c r="F98" s="135" t="n"/>
      <c r="G98" s="135" t="n"/>
      <c r="H98" s="127" t="n"/>
      <c r="I98" s="127" t="n"/>
      <c r="J98" s="127" t="n"/>
      <c r="K98" s="127" t="n"/>
      <c r="L98" s="127" t="n"/>
      <c r="M98" s="127" t="n"/>
      <c r="N98" s="125" t="n"/>
      <c r="O98" s="125" t="n"/>
      <c r="P98" s="125" t="n"/>
      <c r="Q98" s="127" t="n"/>
      <c r="R98" s="125" t="n"/>
      <c r="S98" s="125" t="n"/>
      <c r="T98" s="125" t="n"/>
      <c r="U98" s="125" t="n"/>
    </row>
    <row r="99">
      <c r="A99" s="118">
        <f>IF(COUNTA(B99:U99)=0,"待填写",IF(OR(B99="",C99="",NOT(ISNUMBER(H99)),NOT(ISNUMBER(I99)),NOT(ISNUMBER(J99)),K99="",NOT(ISNUMBER(L99)),M99="",N99="",O99="",Q99="",R99="",S99="",T99=""),"请补全必填",IF(COUNTIF($B$5:$B$104,B99)&gt;1,"ID重复",IF(COUNTIF('珠子SKU'!$C$5:$C$104,C99)=0,"关联不存在",IF(OR(ISNA(MATCH(K99,'_枚举'!$H$2:$H$5,0)),ISNA(MATCH(M99,'_枚举'!$G$2:$G$3,0)),ISNA(MATCH(N99,'_枚举'!$A$2:$A$4,0)),ISNA(MATCH(O99,'_枚举'!$B$2:$B$5,0)),ISNA(MATCH(Q99,'_枚举'!$C$2:$C$3,0)),ISNA(MATCH(R99,'_枚举'!$C$2:$C$3,0)),ISNA(MATCH(S99,'_枚举'!$C$2:$C$3,0)),ISNA(MATCH(T99,'_枚举'!$I$2:$I$5,0))),"枚举错误",IF(OR(AND(F99&lt;&gt;"",NOT(ISNUMBER(F99))),AND(G99&lt;&gt;"",NOT(ISNUMBER(G99))),NOT(ISNUMBER(H99)),H99&lt;0,NOT(ISNUMBER(I99)),I99&lt;0,NOT(ISNUMBER(J99)),J99&lt;0,I99+J99&gt;H99,NOT(ISNUMBER(L99)),L99&lt;0),"格式错误",IF(AND(S99="TRUE",OR(Q99&lt;&gt;"TRUE",R99&lt;&gt;"TRUE",N99="UNKNOWN",T99&lt;&gt;"PASSED")),"待人工复核","可导入")))))))</f>
        <v/>
      </c>
      <c r="B99" s="125" t="n"/>
      <c r="C99" s="125" t="n"/>
      <c r="D99" s="125" t="n"/>
      <c r="E99" s="125" t="n"/>
      <c r="F99" s="135" t="n"/>
      <c r="G99" s="135" t="n"/>
      <c r="H99" s="127" t="n"/>
      <c r="I99" s="127" t="n"/>
      <c r="J99" s="127" t="n"/>
      <c r="K99" s="127" t="n"/>
      <c r="L99" s="127" t="n"/>
      <c r="M99" s="127" t="n"/>
      <c r="N99" s="125" t="n"/>
      <c r="O99" s="125" t="n"/>
      <c r="P99" s="125" t="n"/>
      <c r="Q99" s="127" t="n"/>
      <c r="R99" s="125" t="n"/>
      <c r="S99" s="125" t="n"/>
      <c r="T99" s="125" t="n"/>
      <c r="U99" s="125" t="n"/>
    </row>
    <row r="100">
      <c r="A100" s="118">
        <f>IF(COUNTA(B100:U100)=0,"待填写",IF(OR(B100="",C100="",NOT(ISNUMBER(H100)),NOT(ISNUMBER(I100)),NOT(ISNUMBER(J100)),K100="",NOT(ISNUMBER(L100)),M100="",N100="",O100="",Q100="",R100="",S100="",T100=""),"请补全必填",IF(COUNTIF($B$5:$B$104,B100)&gt;1,"ID重复",IF(COUNTIF('珠子SKU'!$C$5:$C$104,C100)=0,"关联不存在",IF(OR(ISNA(MATCH(K100,'_枚举'!$H$2:$H$5,0)),ISNA(MATCH(M100,'_枚举'!$G$2:$G$3,0)),ISNA(MATCH(N100,'_枚举'!$A$2:$A$4,0)),ISNA(MATCH(O100,'_枚举'!$B$2:$B$5,0)),ISNA(MATCH(Q100,'_枚举'!$C$2:$C$3,0)),ISNA(MATCH(R100,'_枚举'!$C$2:$C$3,0)),ISNA(MATCH(S100,'_枚举'!$C$2:$C$3,0)),ISNA(MATCH(T100,'_枚举'!$I$2:$I$5,0))),"枚举错误",IF(OR(AND(F100&lt;&gt;"",NOT(ISNUMBER(F100))),AND(G100&lt;&gt;"",NOT(ISNUMBER(G100))),NOT(ISNUMBER(H100)),H100&lt;0,NOT(ISNUMBER(I100)),I100&lt;0,NOT(ISNUMBER(J100)),J100&lt;0,I100+J100&gt;H100,NOT(ISNUMBER(L100)),L100&lt;0),"格式错误",IF(AND(S100="TRUE",OR(Q100&lt;&gt;"TRUE",R100&lt;&gt;"TRUE",N100="UNKNOWN",T100&lt;&gt;"PASSED")),"待人工复核","可导入")))))))</f>
        <v/>
      </c>
      <c r="B100" s="125" t="n"/>
      <c r="C100" s="125" t="n"/>
      <c r="D100" s="125" t="n"/>
      <c r="E100" s="125" t="n"/>
      <c r="F100" s="135" t="n"/>
      <c r="G100" s="135" t="n"/>
      <c r="H100" s="127" t="n"/>
      <c r="I100" s="127" t="n"/>
      <c r="J100" s="127" t="n"/>
      <c r="K100" s="127" t="n"/>
      <c r="L100" s="127" t="n"/>
      <c r="M100" s="127" t="n"/>
      <c r="N100" s="125" t="n"/>
      <c r="O100" s="125" t="n"/>
      <c r="P100" s="125" t="n"/>
      <c r="Q100" s="127" t="n"/>
      <c r="R100" s="125" t="n"/>
      <c r="S100" s="125" t="n"/>
      <c r="T100" s="125" t="n"/>
      <c r="U100" s="125" t="n"/>
    </row>
    <row r="101">
      <c r="A101" s="118">
        <f>IF(COUNTA(B101:U101)=0,"待填写",IF(OR(B101="",C101="",NOT(ISNUMBER(H101)),NOT(ISNUMBER(I101)),NOT(ISNUMBER(J101)),K101="",NOT(ISNUMBER(L101)),M101="",N101="",O101="",Q101="",R101="",S101="",T101=""),"请补全必填",IF(COUNTIF($B$5:$B$104,B101)&gt;1,"ID重复",IF(COUNTIF('珠子SKU'!$C$5:$C$104,C101)=0,"关联不存在",IF(OR(ISNA(MATCH(K101,'_枚举'!$H$2:$H$5,0)),ISNA(MATCH(M101,'_枚举'!$G$2:$G$3,0)),ISNA(MATCH(N101,'_枚举'!$A$2:$A$4,0)),ISNA(MATCH(O101,'_枚举'!$B$2:$B$5,0)),ISNA(MATCH(Q101,'_枚举'!$C$2:$C$3,0)),ISNA(MATCH(R101,'_枚举'!$C$2:$C$3,0)),ISNA(MATCH(S101,'_枚举'!$C$2:$C$3,0)),ISNA(MATCH(T101,'_枚举'!$I$2:$I$5,0))),"枚举错误",IF(OR(AND(F101&lt;&gt;"",NOT(ISNUMBER(F101))),AND(G101&lt;&gt;"",NOT(ISNUMBER(G101))),NOT(ISNUMBER(H101)),H101&lt;0,NOT(ISNUMBER(I101)),I101&lt;0,NOT(ISNUMBER(J101)),J101&lt;0,I101+J101&gt;H101,NOT(ISNUMBER(L101)),L101&lt;0),"格式错误",IF(AND(S101="TRUE",OR(Q101&lt;&gt;"TRUE",R101&lt;&gt;"TRUE",N101="UNKNOWN",T101&lt;&gt;"PASSED")),"待人工复核","可导入")))))))</f>
        <v/>
      </c>
      <c r="B101" s="125" t="n"/>
      <c r="C101" s="125" t="n"/>
      <c r="D101" s="125" t="n"/>
      <c r="E101" s="125" t="n"/>
      <c r="F101" s="135" t="n"/>
      <c r="G101" s="135" t="n"/>
      <c r="H101" s="127" t="n"/>
      <c r="I101" s="127" t="n"/>
      <c r="J101" s="127" t="n"/>
      <c r="K101" s="127" t="n"/>
      <c r="L101" s="127" t="n"/>
      <c r="M101" s="127" t="n"/>
      <c r="N101" s="125" t="n"/>
      <c r="O101" s="125" t="n"/>
      <c r="P101" s="125" t="n"/>
      <c r="Q101" s="127" t="n"/>
      <c r="R101" s="125" t="n"/>
      <c r="S101" s="125" t="n"/>
      <c r="T101" s="125" t="n"/>
      <c r="U101" s="125" t="n"/>
    </row>
    <row r="102">
      <c r="A102" s="118">
        <f>IF(COUNTA(B102:U102)=0,"待填写",IF(OR(B102="",C102="",NOT(ISNUMBER(H102)),NOT(ISNUMBER(I102)),NOT(ISNUMBER(J102)),K102="",NOT(ISNUMBER(L102)),M102="",N102="",O102="",Q102="",R102="",S102="",T102=""),"请补全必填",IF(COUNTIF($B$5:$B$104,B102)&gt;1,"ID重复",IF(COUNTIF('珠子SKU'!$C$5:$C$104,C102)=0,"关联不存在",IF(OR(ISNA(MATCH(K102,'_枚举'!$H$2:$H$5,0)),ISNA(MATCH(M102,'_枚举'!$G$2:$G$3,0)),ISNA(MATCH(N102,'_枚举'!$A$2:$A$4,0)),ISNA(MATCH(O102,'_枚举'!$B$2:$B$5,0)),ISNA(MATCH(Q102,'_枚举'!$C$2:$C$3,0)),ISNA(MATCH(R102,'_枚举'!$C$2:$C$3,0)),ISNA(MATCH(S102,'_枚举'!$C$2:$C$3,0)),ISNA(MATCH(T102,'_枚举'!$I$2:$I$5,0))),"枚举错误",IF(OR(AND(F102&lt;&gt;"",NOT(ISNUMBER(F102))),AND(G102&lt;&gt;"",NOT(ISNUMBER(G102))),NOT(ISNUMBER(H102)),H102&lt;0,NOT(ISNUMBER(I102)),I102&lt;0,NOT(ISNUMBER(J102)),J102&lt;0,I102+J102&gt;H102,NOT(ISNUMBER(L102)),L102&lt;0),"格式错误",IF(AND(S102="TRUE",OR(Q102&lt;&gt;"TRUE",R102&lt;&gt;"TRUE",N102="UNKNOWN",T102&lt;&gt;"PASSED")),"待人工复核","可导入")))))))</f>
        <v/>
      </c>
      <c r="B102" s="125" t="n"/>
      <c r="C102" s="125" t="n"/>
      <c r="D102" s="125" t="n"/>
      <c r="E102" s="125" t="n"/>
      <c r="F102" s="135" t="n"/>
      <c r="G102" s="135" t="n"/>
      <c r="H102" s="127" t="n"/>
      <c r="I102" s="127" t="n"/>
      <c r="J102" s="127" t="n"/>
      <c r="K102" s="127" t="n"/>
      <c r="L102" s="127" t="n"/>
      <c r="M102" s="127" t="n"/>
      <c r="N102" s="125" t="n"/>
      <c r="O102" s="125" t="n"/>
      <c r="P102" s="125" t="n"/>
      <c r="Q102" s="127" t="n"/>
      <c r="R102" s="125" t="n"/>
      <c r="S102" s="125" t="n"/>
      <c r="T102" s="125" t="n"/>
      <c r="U102" s="125" t="n"/>
    </row>
    <row r="103">
      <c r="A103" s="118">
        <f>IF(COUNTA(B103:U103)=0,"待填写",IF(OR(B103="",C103="",NOT(ISNUMBER(H103)),NOT(ISNUMBER(I103)),NOT(ISNUMBER(J103)),K103="",NOT(ISNUMBER(L103)),M103="",N103="",O103="",Q103="",R103="",S103="",T103=""),"请补全必填",IF(COUNTIF($B$5:$B$104,B103)&gt;1,"ID重复",IF(COUNTIF('珠子SKU'!$C$5:$C$104,C103)=0,"关联不存在",IF(OR(ISNA(MATCH(K103,'_枚举'!$H$2:$H$5,0)),ISNA(MATCH(M103,'_枚举'!$G$2:$G$3,0)),ISNA(MATCH(N103,'_枚举'!$A$2:$A$4,0)),ISNA(MATCH(O103,'_枚举'!$B$2:$B$5,0)),ISNA(MATCH(Q103,'_枚举'!$C$2:$C$3,0)),ISNA(MATCH(R103,'_枚举'!$C$2:$C$3,0)),ISNA(MATCH(S103,'_枚举'!$C$2:$C$3,0)),ISNA(MATCH(T103,'_枚举'!$I$2:$I$5,0))),"枚举错误",IF(OR(AND(F103&lt;&gt;"",NOT(ISNUMBER(F103))),AND(G103&lt;&gt;"",NOT(ISNUMBER(G103))),NOT(ISNUMBER(H103)),H103&lt;0,NOT(ISNUMBER(I103)),I103&lt;0,NOT(ISNUMBER(J103)),J103&lt;0,I103+J103&gt;H103,NOT(ISNUMBER(L103)),L103&lt;0),"格式错误",IF(AND(S103="TRUE",OR(Q103&lt;&gt;"TRUE",R103&lt;&gt;"TRUE",N103="UNKNOWN",T103&lt;&gt;"PASSED")),"待人工复核","可导入")))))))</f>
        <v/>
      </c>
      <c r="B103" s="125" t="n"/>
      <c r="C103" s="125" t="n"/>
      <c r="D103" s="125" t="n"/>
      <c r="E103" s="125" t="n"/>
      <c r="F103" s="135" t="n"/>
      <c r="G103" s="135" t="n"/>
      <c r="H103" s="127" t="n"/>
      <c r="I103" s="127" t="n"/>
      <c r="J103" s="127" t="n"/>
      <c r="K103" s="127" t="n"/>
      <c r="L103" s="127" t="n"/>
      <c r="M103" s="127" t="n"/>
      <c r="N103" s="125" t="n"/>
      <c r="O103" s="125" t="n"/>
      <c r="P103" s="125" t="n"/>
      <c r="Q103" s="127" t="n"/>
      <c r="R103" s="125" t="n"/>
      <c r="S103" s="125" t="n"/>
      <c r="T103" s="125" t="n"/>
      <c r="U103" s="125" t="n"/>
    </row>
    <row r="104">
      <c r="A104" s="118">
        <f>IF(COUNTA(B104:U104)=0,"待填写",IF(OR(B104="",C104="",NOT(ISNUMBER(H104)),NOT(ISNUMBER(I104)),NOT(ISNUMBER(J104)),K104="",NOT(ISNUMBER(L104)),M104="",N104="",O104="",Q104="",R104="",S104="",T104=""),"请补全必填",IF(COUNTIF($B$5:$B$104,B104)&gt;1,"ID重复",IF(COUNTIF('珠子SKU'!$C$5:$C$104,C104)=0,"关联不存在",IF(OR(ISNA(MATCH(K104,'_枚举'!$H$2:$H$5,0)),ISNA(MATCH(M104,'_枚举'!$G$2:$G$3,0)),ISNA(MATCH(N104,'_枚举'!$A$2:$A$4,0)),ISNA(MATCH(O104,'_枚举'!$B$2:$B$5,0)),ISNA(MATCH(Q104,'_枚举'!$C$2:$C$3,0)),ISNA(MATCH(R104,'_枚举'!$C$2:$C$3,0)),ISNA(MATCH(S104,'_枚举'!$C$2:$C$3,0)),ISNA(MATCH(T104,'_枚举'!$I$2:$I$5,0))),"枚举错误",IF(OR(AND(F104&lt;&gt;"",NOT(ISNUMBER(F104))),AND(G104&lt;&gt;"",NOT(ISNUMBER(G104))),NOT(ISNUMBER(H104)),H104&lt;0,NOT(ISNUMBER(I104)),I104&lt;0,NOT(ISNUMBER(J104)),J104&lt;0,I104+J104&gt;H104,NOT(ISNUMBER(L104)),L104&lt;0),"格式错误",IF(AND(S104="TRUE",OR(Q104&lt;&gt;"TRUE",R104&lt;&gt;"TRUE",N104="UNKNOWN",T104&lt;&gt;"PASSED")),"待人工复核","可导入")))))))</f>
        <v/>
      </c>
      <c r="B104" s="125" t="n"/>
      <c r="C104" s="125" t="n"/>
      <c r="D104" s="125" t="n"/>
      <c r="E104" s="125" t="n"/>
      <c r="F104" s="135" t="n"/>
      <c r="G104" s="135" t="n"/>
      <c r="H104" s="127" t="n"/>
      <c r="I104" s="127" t="n"/>
      <c r="J104" s="127" t="n"/>
      <c r="K104" s="127" t="n"/>
      <c r="L104" s="127" t="n"/>
      <c r="M104" s="127" t="n"/>
      <c r="N104" s="125" t="n"/>
      <c r="O104" s="125" t="n"/>
      <c r="P104" s="125" t="n"/>
      <c r="Q104" s="127" t="n"/>
      <c r="R104" s="125" t="n"/>
      <c r="S104" s="125" t="n"/>
      <c r="T104" s="125" t="n"/>
      <c r="U104" s="125" t="n"/>
    </row>
  </sheetData>
  <autoFilter ref="A4:U104"/>
  <mergeCells count="2">
    <mergeCell ref="A1:U2"/>
    <mergeCell ref="A3:U3"/>
  </mergeCells>
  <conditionalFormatting sqref="A5:A104">
    <cfRule type="cellIs" priority="1" operator="equal" dxfId="9">
      <formula>"可导入"</formula>
    </cfRule>
    <cfRule type="cellIs" priority="2" operator="equal" dxfId="10">
      <formula>"请补全必填"</formula>
    </cfRule>
    <cfRule type="cellIs" priority="3" operator="equal" dxfId="11">
      <formula>"ID重复"</formula>
    </cfRule>
    <cfRule type="cellIs" priority="4" operator="equal" dxfId="11">
      <formula>"关联不存在"</formula>
    </cfRule>
    <cfRule type="cellIs" priority="5" operator="equal" dxfId="12">
      <formula>"格式错误"</formula>
    </cfRule>
    <cfRule type="cellIs" priority="6" operator="equal" dxfId="12">
      <formula>"枚举错误"</formula>
    </cfRule>
    <cfRule type="cellIs" priority="7" operator="equal" dxfId="13">
      <formula>"待人工复核"</formula>
    </cfRule>
    <cfRule type="cellIs" priority="8" operator="equal" dxfId="10">
      <formula>"待填写"</formula>
    </cfRule>
  </conditionalFormatting>
  <dataValidations count="10">
    <dataValidation sqref="K5:K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'_枚举'!$H$2:$H$5</formula1>
    </dataValidation>
    <dataValidation sqref="M5:M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'_枚举'!$G$2:$G$3</formula1>
    </dataValidation>
    <dataValidation sqref="N5:N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'_枚举'!$A$2:$A$4</formula1>
    </dataValidation>
    <dataValidation sqref="O5:O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'_枚举'!$B$2:$B$5</formula1>
    </dataValidation>
    <dataValidation sqref="Q5:Q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R5:R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S5:S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T5:T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'_枚举'!$I$2:$I$5</formula1>
    </dataValidation>
    <dataValidation sqref="H5:J104" showDropDown="0" showInputMessage="0" showErrorMessage="1" allowBlank="1" errorTitle="数字格式无效" error="请输入 0 到 9007199254740991 之间的数字。" type="whole" operator="between">
      <formula1>0</formula1>
      <formula2>9007199254740991</formula2>
    </dataValidation>
    <dataValidation sqref="L5:L104" showDropDown="0" showInputMessage="0" showErrorMessage="1" allowBlank="1" errorTitle="数字格式无效" error="请输入 0 到 9007199254740991 之间的数字。" type="whole" operator="between">
      <formula1>0</formula1>
      <formula2>9007199254740991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6B4F68"/>
    <outlinePr summaryBelow="1" summaryRight="1"/>
    <pageSetUpPr/>
  </sheetPr>
  <dimension ref="A1:Z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2" customWidth="1" min="4" max="4"/>
    <col width="24" customWidth="1" min="5" max="5"/>
    <col width="28" customWidth="1" min="6" max="6"/>
    <col width="42" customWidth="1" min="7" max="7"/>
    <col width="18" customWidth="1" min="8" max="8"/>
    <col width="16" customWidth="1" min="9" max="9"/>
    <col width="18" customWidth="1" min="10" max="10"/>
    <col width="18" customWidth="1" min="11" max="11"/>
    <col width="38" customWidth="1" min="12" max="12"/>
    <col width="26" customWidth="1" min="13" max="13"/>
    <col width="18" customWidth="1" min="14" max="14"/>
    <col width="20" customWidth="1" min="15" max="15"/>
    <col width="20" customWidth="1" min="16" max="16"/>
    <col width="20" customWidth="1" min="17" max="17"/>
    <col width="23" customWidth="1" min="18" max="18"/>
    <col width="23" customWidth="1" min="19" max="19"/>
    <col width="22" customWidth="1" min="20" max="20"/>
    <col width="16" customWidth="1" min="21" max="21"/>
    <col width="18" customWidth="1" min="22" max="22"/>
    <col width="38" customWidth="1" min="23" max="23"/>
    <col width="18" customWidth="1" min="24" max="24"/>
    <col width="18" customWidth="1" min="25" max="25"/>
    <col width="38" customWidth="1" min="26" max="26"/>
  </cols>
  <sheetData>
    <row r="1" ht="28" customHeight="1">
      <c r="A1" s="122" t="inlineStr">
        <is>
          <t>图片资产｜一张图片一行</t>
        </is>
      </c>
    </row>
    <row r="2" ht="28" customHeight="1"/>
    <row r="3" ht="30" customHeight="1">
      <c r="A3" s="123" t="inlineStr">
        <is>
          <t>图片品质等级只能来自用户、供应商或已有记录；程序不得根据图片漂亮程度猜测。来源、授权、实拍/AI 属性必须可追溯。</t>
        </is>
      </c>
    </row>
    <row r="4" ht="32" customHeight="1">
      <c r="A4" s="124" t="inlineStr">
        <is>
          <t>导入状态</t>
        </is>
      </c>
      <c r="B4" s="124" t="inlineStr">
        <is>
          <t>image_id*</t>
        </is>
      </c>
      <c r="C4" s="124" t="inlineStr">
        <is>
          <t>crystal_id</t>
        </is>
      </c>
      <c r="D4" s="124" t="inlineStr">
        <is>
          <t>sku</t>
        </is>
      </c>
      <c r="E4" s="124" t="inlineStr">
        <is>
          <t>lot_id</t>
        </is>
      </c>
      <c r="F4" s="124" t="inlineStr">
        <is>
          <t>文件名*</t>
        </is>
      </c>
      <c r="G4" s="124" t="inlineStr">
        <is>
          <t>相对路径*</t>
        </is>
      </c>
      <c r="H4" s="124" t="inlineStr">
        <is>
          <t>image_type*</t>
        </is>
      </c>
      <c r="I4" s="124" t="inlineStr">
        <is>
          <t>是否真实实拍*</t>
        </is>
      </c>
      <c r="J4" s="124" t="inlineStr">
        <is>
          <t>来源类型*</t>
        </is>
      </c>
      <c r="K4" s="124" t="inlineStr">
        <is>
          <t>来源平台</t>
        </is>
      </c>
      <c r="L4" s="124" t="inlineStr">
        <is>
          <t>来源链接</t>
        </is>
      </c>
      <c r="M4" s="124" t="inlineStr">
        <is>
          <t>来源作者或供应商</t>
        </is>
      </c>
      <c r="N4" s="124" t="inlineStr">
        <is>
          <t>使用权限*</t>
        </is>
      </c>
      <c r="O4" s="124" t="inlineStr">
        <is>
          <t>是否允许 AI 训练*</t>
        </is>
      </c>
      <c r="P4" s="124" t="inlineStr">
        <is>
          <t>是否允许商业使用*</t>
        </is>
      </c>
      <c r="Q4" s="124" t="inlineStr">
        <is>
          <t>是否允许公开展示*</t>
        </is>
      </c>
      <c r="R4" s="124" t="inlineStr">
        <is>
          <t>市场品质等级*</t>
        </is>
      </c>
      <c r="S4" s="124" t="inlineStr">
        <is>
          <t>品质信息来源*</t>
        </is>
      </c>
      <c r="T4" s="124" t="inlineStr">
        <is>
          <t>是否代表当前实际货品*</t>
        </is>
      </c>
      <c r="U4" s="124" t="inlineStr">
        <is>
          <t>是否过度修图*</t>
        </is>
      </c>
      <c r="V4" s="124" t="inlineStr">
        <is>
          <t>是否疑似 AI 图片*</t>
        </is>
      </c>
      <c r="W4" s="124" t="inlineStr">
        <is>
          <t>文件哈希</t>
        </is>
      </c>
      <c r="X4" s="124" t="inlineStr">
        <is>
          <t>人工复核状态*</t>
        </is>
      </c>
      <c r="Y4" s="124" t="inlineStr">
        <is>
          <t>复核人</t>
        </is>
      </c>
      <c r="Z4" s="124" t="inlineStr">
        <is>
          <t>备注</t>
        </is>
      </c>
    </row>
    <row r="5">
      <c r="A5" s="118">
        <f>IF(COUNTA(B5:Z5)=0,"待填写",IF(OR(B5="",AND(C5="",D5="",E5=""),F5="",G5="",H5="",I5="",J5="",N5="",O5="",P5="",Q5="",R5="",S5="",T5="",U5="",V5="",X5="",AND(OR(J5="SUPPLIER",J5="PLATFORM",J5="WEB"),L5="")),"请补全必填",IF(COUNTIF($B$5:$B$104,B5)&gt;1,"ID重复",IF(OR(AND(C5&lt;&gt;"",COUNTIF('水晶主数据'!$B$5:$B$54,C5)=0),AND(D5&lt;&gt;"",COUNTIF('珠子SKU'!$C$5:$C$104,D5)=0),AND(E5&lt;&gt;"",COUNTIF('库存批次'!$B$5:$B$104,E5)=0)),"关联不存在",IF(OR(ISNA(MATCH(H5,'_枚举'!$J$2:$J$8,0)),ISNA(MATCH(I5,'_枚举'!$C$2:$C$3,0)),ISNA(MATCH(J5,'_枚举'!$K$2:$K$6,0)),ISNA(MATCH(N5,'_枚举'!$L$2:$L$6,0)),ISNA(MATCH(O5,'_枚举'!$C$2:$C$3,0)),ISNA(MATCH(P5,'_枚举'!$C$2:$C$3,0)),ISNA(MATCH(Q5,'_枚举'!$C$2:$C$3,0)),ISNA(MATCH(R5,'_枚举'!$A$2:$A$4,0)),ISNA(MATCH(S5,'_枚举'!$B$2:$B$5,0)),ISNA(MATCH(T5,'_枚举'!$C$2:$C$3,0)),ISNA(MATCH(U5,'_枚举'!$C$2:$C$3,0)),ISNA(MATCH(V5,'_枚举'!$C$2:$C$3,0)),ISNA(MATCH(X5,'_枚举'!$M$2:$M$4,0))),"枚举错误",IF(AND(W5&lt;&gt;"",OR(LEN(W5)&lt;32,LEN(W5)&gt;128)),"格式错误",IF(OR(X5&lt;&gt;"PASSED",N5="UNKNOWN",AND(O5="TRUE",N5&lt;&gt;"OWNED",N5&lt;&gt;"AUTHORIZED",N5&lt;&gt;"PUBLIC_DOMAIN"),AND(P5="TRUE",N5&lt;&gt;"OWNED",N5&lt;&gt;"AUTHORIZED",N5&lt;&gt;"PUBLIC_DOMAIN"),U5="TRUE",V5="TRUE",AND(T5="TRUE",I5&lt;&gt;"TRUE")),"待人工复核","可导入")))))))</f>
        <v/>
      </c>
      <c r="B5" s="125" t="inlineStr">
        <is>
          <t>img-aq-main-001</t>
        </is>
      </c>
      <c r="C5" s="125" t="inlineStr">
        <is>
          <t>crystal-aquamarine</t>
        </is>
      </c>
      <c r="D5" s="125" t="inlineStr">
        <is>
          <t>AQ-CNY-8</t>
        </is>
      </c>
      <c r="E5" s="125" t="inlineStr">
        <is>
          <t>lot-aq-202607-01</t>
        </is>
      </c>
      <c r="F5" s="125" t="inlineStr">
        <is>
          <t>aquamarine-round-8.png</t>
        </is>
      </c>
      <c r="G5" s="126" t="inlineStr">
        <is>
          <t>images/aquamarine/aquamarine-round-8.png</t>
        </is>
      </c>
      <c r="H5" s="126" t="inlineStr">
        <is>
          <t>MAIN</t>
        </is>
      </c>
      <c r="I5" s="126" t="inlineStr">
        <is>
          <t>TRUE</t>
        </is>
      </c>
      <c r="J5" s="126" t="inlineStr">
        <is>
          <t>USER_OWNED</t>
        </is>
      </c>
      <c r="K5" s="125" t="inlineStr">
        <is>
          <t>自有拍摄</t>
        </is>
      </c>
      <c r="L5" s="127" t="n"/>
      <c r="M5" s="127" t="inlineStr">
        <is>
          <t>玄矶 Mystcrag</t>
        </is>
      </c>
      <c r="N5" s="125" t="inlineStr">
        <is>
          <t>OWNED</t>
        </is>
      </c>
      <c r="O5" s="125" t="inlineStr">
        <is>
          <t>TRUE</t>
        </is>
      </c>
      <c r="P5" s="125" t="inlineStr">
        <is>
          <t>TRUE</t>
        </is>
      </c>
      <c r="Q5" s="127" t="inlineStr">
        <is>
          <t>TRUE</t>
        </is>
      </c>
      <c r="R5" s="125" t="inlineStr">
        <is>
          <t>COMMERCIAL_A</t>
        </is>
      </c>
      <c r="S5" s="125" t="inlineStr">
        <is>
          <t>USER_CONFIRMED</t>
        </is>
      </c>
      <c r="T5" s="125" t="inlineStr">
        <is>
          <t>TRUE</t>
        </is>
      </c>
      <c r="U5" s="125" t="inlineStr">
        <is>
          <t>FALSE</t>
        </is>
      </c>
      <c r="V5" s="125" t="inlineStr">
        <is>
          <t>FALSE</t>
        </is>
      </c>
      <c r="W5" s="125" t="n"/>
      <c r="X5" s="125" t="inlineStr">
        <is>
          <t>PASSED</t>
        </is>
      </c>
      <c r="Y5" s="125" t="inlineStr">
        <is>
          <t>示例复核人</t>
        </is>
      </c>
      <c r="Z5" s="125" t="inlineStr">
        <is>
          <t>普通商业品质实拍，以当前批次为准。</t>
        </is>
      </c>
    </row>
    <row r="6">
      <c r="A6" s="118">
        <f>IF(COUNTA(B6:Z6)=0,"待填写",IF(OR(B6="",AND(C6="",D6="",E6=""),F6="",G6="",H6="",I6="",J6="",N6="",O6="",P6="",Q6="",R6="",S6="",T6="",U6="",V6="",X6="",AND(OR(J6="SUPPLIER",J6="PLATFORM",J6="WEB"),L6="")),"请补全必填",IF(COUNTIF($B$5:$B$104,B6)&gt;1,"ID重复",IF(OR(AND(C6&lt;&gt;"",COUNTIF('水晶主数据'!$B$5:$B$54,C6)=0),AND(D6&lt;&gt;"",COUNTIF('珠子SKU'!$C$5:$C$104,D6)=0),AND(E6&lt;&gt;"",COUNTIF('库存批次'!$B$5:$B$104,E6)=0)),"关联不存在",IF(OR(ISNA(MATCH(H6,'_枚举'!$J$2:$J$8,0)),ISNA(MATCH(I6,'_枚举'!$C$2:$C$3,0)),ISNA(MATCH(J6,'_枚举'!$K$2:$K$6,0)),ISNA(MATCH(N6,'_枚举'!$L$2:$L$6,0)),ISNA(MATCH(O6,'_枚举'!$C$2:$C$3,0)),ISNA(MATCH(P6,'_枚举'!$C$2:$C$3,0)),ISNA(MATCH(Q6,'_枚举'!$C$2:$C$3,0)),ISNA(MATCH(R6,'_枚举'!$A$2:$A$4,0)),ISNA(MATCH(S6,'_枚举'!$B$2:$B$5,0)),ISNA(MATCH(T6,'_枚举'!$C$2:$C$3,0)),ISNA(MATCH(U6,'_枚举'!$C$2:$C$3,0)),ISNA(MATCH(V6,'_枚举'!$C$2:$C$3,0)),ISNA(MATCH(X6,'_枚举'!$M$2:$M$4,0))),"枚举错误",IF(AND(W6&lt;&gt;"",OR(LEN(W6)&lt;32,LEN(W6)&gt;128)),"格式错误",IF(OR(X6&lt;&gt;"PASSED",N6="UNKNOWN",AND(O6="TRUE",N6&lt;&gt;"OWNED",N6&lt;&gt;"AUTHORIZED",N6&lt;&gt;"PUBLIC_DOMAIN"),AND(P6="TRUE",N6&lt;&gt;"OWNED",N6&lt;&gt;"AUTHORIZED",N6&lt;&gt;"PUBLIC_DOMAIN"),U6="TRUE",V6="TRUE",AND(T6="TRUE",I6&lt;&gt;"TRUE")),"待人工复核","可导入")))))))</f>
        <v/>
      </c>
      <c r="B6" s="125" t="n"/>
      <c r="C6" s="125" t="n"/>
      <c r="D6" s="125" t="n"/>
      <c r="E6" s="125" t="n"/>
      <c r="F6" s="125" t="n"/>
      <c r="G6" s="126" t="n"/>
      <c r="H6" s="126" t="n"/>
      <c r="I6" s="126" t="n"/>
      <c r="J6" s="126" t="n"/>
      <c r="K6" s="125" t="n"/>
      <c r="L6" s="127" t="n"/>
      <c r="M6" s="127" t="n"/>
      <c r="N6" s="125" t="n"/>
      <c r="O6" s="125" t="n"/>
      <c r="P6" s="125" t="n"/>
      <c r="Q6" s="127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</row>
    <row r="7">
      <c r="A7" s="118">
        <f>IF(COUNTA(B7:Z7)=0,"待填写",IF(OR(B7="",AND(C7="",D7="",E7=""),F7="",G7="",H7="",I7="",J7="",N7="",O7="",P7="",Q7="",R7="",S7="",T7="",U7="",V7="",X7="",AND(OR(J7="SUPPLIER",J7="PLATFORM",J7="WEB"),L7="")),"请补全必填",IF(COUNTIF($B$5:$B$104,B7)&gt;1,"ID重复",IF(OR(AND(C7&lt;&gt;"",COUNTIF('水晶主数据'!$B$5:$B$54,C7)=0),AND(D7&lt;&gt;"",COUNTIF('珠子SKU'!$C$5:$C$104,D7)=0),AND(E7&lt;&gt;"",COUNTIF('库存批次'!$B$5:$B$104,E7)=0)),"关联不存在",IF(OR(ISNA(MATCH(H7,'_枚举'!$J$2:$J$8,0)),ISNA(MATCH(I7,'_枚举'!$C$2:$C$3,0)),ISNA(MATCH(J7,'_枚举'!$K$2:$K$6,0)),ISNA(MATCH(N7,'_枚举'!$L$2:$L$6,0)),ISNA(MATCH(O7,'_枚举'!$C$2:$C$3,0)),ISNA(MATCH(P7,'_枚举'!$C$2:$C$3,0)),ISNA(MATCH(Q7,'_枚举'!$C$2:$C$3,0)),ISNA(MATCH(R7,'_枚举'!$A$2:$A$4,0)),ISNA(MATCH(S7,'_枚举'!$B$2:$B$5,0)),ISNA(MATCH(T7,'_枚举'!$C$2:$C$3,0)),ISNA(MATCH(U7,'_枚举'!$C$2:$C$3,0)),ISNA(MATCH(V7,'_枚举'!$C$2:$C$3,0)),ISNA(MATCH(X7,'_枚举'!$M$2:$M$4,0))),"枚举错误",IF(AND(W7&lt;&gt;"",OR(LEN(W7)&lt;32,LEN(W7)&gt;128)),"格式错误",IF(OR(X7&lt;&gt;"PASSED",N7="UNKNOWN",AND(O7="TRUE",N7&lt;&gt;"OWNED",N7&lt;&gt;"AUTHORIZED",N7&lt;&gt;"PUBLIC_DOMAIN"),AND(P7="TRUE",N7&lt;&gt;"OWNED",N7&lt;&gt;"AUTHORIZED",N7&lt;&gt;"PUBLIC_DOMAIN"),U7="TRUE",V7="TRUE",AND(T7="TRUE",I7&lt;&gt;"TRUE")),"待人工复核","可导入")))))))</f>
        <v/>
      </c>
      <c r="B7" s="125" t="n"/>
      <c r="C7" s="125" t="n"/>
      <c r="D7" s="125" t="n"/>
      <c r="E7" s="125" t="n"/>
      <c r="F7" s="125" t="n"/>
      <c r="G7" s="126" t="n"/>
      <c r="H7" s="126" t="n"/>
      <c r="I7" s="126" t="n"/>
      <c r="J7" s="126" t="n"/>
      <c r="K7" s="125" t="n"/>
      <c r="L7" s="127" t="n"/>
      <c r="M7" s="127" t="n"/>
      <c r="N7" s="125" t="n"/>
      <c r="O7" s="125" t="n"/>
      <c r="P7" s="125" t="n"/>
      <c r="Q7" s="127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</row>
    <row r="8">
      <c r="A8" s="118">
        <f>IF(COUNTA(B8:Z8)=0,"待填写",IF(OR(B8="",AND(C8="",D8="",E8=""),F8="",G8="",H8="",I8="",J8="",N8="",O8="",P8="",Q8="",R8="",S8="",T8="",U8="",V8="",X8="",AND(OR(J8="SUPPLIER",J8="PLATFORM",J8="WEB"),L8="")),"请补全必填",IF(COUNTIF($B$5:$B$104,B8)&gt;1,"ID重复",IF(OR(AND(C8&lt;&gt;"",COUNTIF('水晶主数据'!$B$5:$B$54,C8)=0),AND(D8&lt;&gt;"",COUNTIF('珠子SKU'!$C$5:$C$104,D8)=0),AND(E8&lt;&gt;"",COUNTIF('库存批次'!$B$5:$B$104,E8)=0)),"关联不存在",IF(OR(ISNA(MATCH(H8,'_枚举'!$J$2:$J$8,0)),ISNA(MATCH(I8,'_枚举'!$C$2:$C$3,0)),ISNA(MATCH(J8,'_枚举'!$K$2:$K$6,0)),ISNA(MATCH(N8,'_枚举'!$L$2:$L$6,0)),ISNA(MATCH(O8,'_枚举'!$C$2:$C$3,0)),ISNA(MATCH(P8,'_枚举'!$C$2:$C$3,0)),ISNA(MATCH(Q8,'_枚举'!$C$2:$C$3,0)),ISNA(MATCH(R8,'_枚举'!$A$2:$A$4,0)),ISNA(MATCH(S8,'_枚举'!$B$2:$B$5,0)),ISNA(MATCH(T8,'_枚举'!$C$2:$C$3,0)),ISNA(MATCH(U8,'_枚举'!$C$2:$C$3,0)),ISNA(MATCH(V8,'_枚举'!$C$2:$C$3,0)),ISNA(MATCH(X8,'_枚举'!$M$2:$M$4,0))),"枚举错误",IF(AND(W8&lt;&gt;"",OR(LEN(W8)&lt;32,LEN(W8)&gt;128)),"格式错误",IF(OR(X8&lt;&gt;"PASSED",N8="UNKNOWN",AND(O8="TRUE",N8&lt;&gt;"OWNED",N8&lt;&gt;"AUTHORIZED",N8&lt;&gt;"PUBLIC_DOMAIN"),AND(P8="TRUE",N8&lt;&gt;"OWNED",N8&lt;&gt;"AUTHORIZED",N8&lt;&gt;"PUBLIC_DOMAIN"),U8="TRUE",V8="TRUE",AND(T8="TRUE",I8&lt;&gt;"TRUE")),"待人工复核","可导入")))))))</f>
        <v/>
      </c>
      <c r="B8" s="125" t="n"/>
      <c r="C8" s="125" t="n"/>
      <c r="D8" s="125" t="n"/>
      <c r="E8" s="125" t="n"/>
      <c r="F8" s="125" t="n"/>
      <c r="G8" s="126" t="n"/>
      <c r="H8" s="126" t="n"/>
      <c r="I8" s="126" t="n"/>
      <c r="J8" s="126" t="n"/>
      <c r="K8" s="125" t="n"/>
      <c r="L8" s="127" t="n"/>
      <c r="M8" s="127" t="n"/>
      <c r="N8" s="125" t="n"/>
      <c r="O8" s="125" t="n"/>
      <c r="P8" s="125" t="n"/>
      <c r="Q8" s="127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</row>
    <row r="9">
      <c r="A9" s="118">
        <f>IF(COUNTA(B9:Z9)=0,"待填写",IF(OR(B9="",AND(C9="",D9="",E9=""),F9="",G9="",H9="",I9="",J9="",N9="",O9="",P9="",Q9="",R9="",S9="",T9="",U9="",V9="",X9="",AND(OR(J9="SUPPLIER",J9="PLATFORM",J9="WEB"),L9="")),"请补全必填",IF(COUNTIF($B$5:$B$104,B9)&gt;1,"ID重复",IF(OR(AND(C9&lt;&gt;"",COUNTIF('水晶主数据'!$B$5:$B$54,C9)=0),AND(D9&lt;&gt;"",COUNTIF('珠子SKU'!$C$5:$C$104,D9)=0),AND(E9&lt;&gt;"",COUNTIF('库存批次'!$B$5:$B$104,E9)=0)),"关联不存在",IF(OR(ISNA(MATCH(H9,'_枚举'!$J$2:$J$8,0)),ISNA(MATCH(I9,'_枚举'!$C$2:$C$3,0)),ISNA(MATCH(J9,'_枚举'!$K$2:$K$6,0)),ISNA(MATCH(N9,'_枚举'!$L$2:$L$6,0)),ISNA(MATCH(O9,'_枚举'!$C$2:$C$3,0)),ISNA(MATCH(P9,'_枚举'!$C$2:$C$3,0)),ISNA(MATCH(Q9,'_枚举'!$C$2:$C$3,0)),ISNA(MATCH(R9,'_枚举'!$A$2:$A$4,0)),ISNA(MATCH(S9,'_枚举'!$B$2:$B$5,0)),ISNA(MATCH(T9,'_枚举'!$C$2:$C$3,0)),ISNA(MATCH(U9,'_枚举'!$C$2:$C$3,0)),ISNA(MATCH(V9,'_枚举'!$C$2:$C$3,0)),ISNA(MATCH(X9,'_枚举'!$M$2:$M$4,0))),"枚举错误",IF(AND(W9&lt;&gt;"",OR(LEN(W9)&lt;32,LEN(W9)&gt;128)),"格式错误",IF(OR(X9&lt;&gt;"PASSED",N9="UNKNOWN",AND(O9="TRUE",N9&lt;&gt;"OWNED",N9&lt;&gt;"AUTHORIZED",N9&lt;&gt;"PUBLIC_DOMAIN"),AND(P9="TRUE",N9&lt;&gt;"OWNED",N9&lt;&gt;"AUTHORIZED",N9&lt;&gt;"PUBLIC_DOMAIN"),U9="TRUE",V9="TRUE",AND(T9="TRUE",I9&lt;&gt;"TRUE")),"待人工复核","可导入")))))))</f>
        <v/>
      </c>
      <c r="B9" s="125" t="n"/>
      <c r="C9" s="125" t="n"/>
      <c r="D9" s="125" t="n"/>
      <c r="E9" s="125" t="n"/>
      <c r="F9" s="125" t="n"/>
      <c r="G9" s="126" t="n"/>
      <c r="H9" s="126" t="n"/>
      <c r="I9" s="126" t="n"/>
      <c r="J9" s="126" t="n"/>
      <c r="K9" s="125" t="n"/>
      <c r="L9" s="127" t="n"/>
      <c r="M9" s="127" t="n"/>
      <c r="N9" s="125" t="n"/>
      <c r="O9" s="125" t="n"/>
      <c r="P9" s="125" t="n"/>
      <c r="Q9" s="127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</row>
    <row r="10">
      <c r="A10" s="118">
        <f>IF(COUNTA(B10:Z10)=0,"待填写",IF(OR(B10="",AND(C10="",D10="",E10=""),F10="",G10="",H10="",I10="",J10="",N10="",O10="",P10="",Q10="",R10="",S10="",T10="",U10="",V10="",X10="",AND(OR(J10="SUPPLIER",J10="PLATFORM",J10="WEB"),L10="")),"请补全必填",IF(COUNTIF($B$5:$B$104,B10)&gt;1,"ID重复",IF(OR(AND(C10&lt;&gt;"",COUNTIF('水晶主数据'!$B$5:$B$54,C10)=0),AND(D10&lt;&gt;"",COUNTIF('珠子SKU'!$C$5:$C$104,D10)=0),AND(E10&lt;&gt;"",COUNTIF('库存批次'!$B$5:$B$104,E10)=0)),"关联不存在",IF(OR(ISNA(MATCH(H10,'_枚举'!$J$2:$J$8,0)),ISNA(MATCH(I10,'_枚举'!$C$2:$C$3,0)),ISNA(MATCH(J10,'_枚举'!$K$2:$K$6,0)),ISNA(MATCH(N10,'_枚举'!$L$2:$L$6,0)),ISNA(MATCH(O10,'_枚举'!$C$2:$C$3,0)),ISNA(MATCH(P10,'_枚举'!$C$2:$C$3,0)),ISNA(MATCH(Q10,'_枚举'!$C$2:$C$3,0)),ISNA(MATCH(R10,'_枚举'!$A$2:$A$4,0)),ISNA(MATCH(S10,'_枚举'!$B$2:$B$5,0)),ISNA(MATCH(T10,'_枚举'!$C$2:$C$3,0)),ISNA(MATCH(U10,'_枚举'!$C$2:$C$3,0)),ISNA(MATCH(V10,'_枚举'!$C$2:$C$3,0)),ISNA(MATCH(X10,'_枚举'!$M$2:$M$4,0))),"枚举错误",IF(AND(W10&lt;&gt;"",OR(LEN(W10)&lt;32,LEN(W10)&gt;128)),"格式错误",IF(OR(X10&lt;&gt;"PASSED",N10="UNKNOWN",AND(O10="TRUE",N10&lt;&gt;"OWNED",N10&lt;&gt;"AUTHORIZED",N10&lt;&gt;"PUBLIC_DOMAIN"),AND(P10="TRUE",N10&lt;&gt;"OWNED",N10&lt;&gt;"AUTHORIZED",N10&lt;&gt;"PUBLIC_DOMAIN"),U10="TRUE",V10="TRUE",AND(T10="TRUE",I10&lt;&gt;"TRUE")),"待人工复核","可导入")))))))</f>
        <v/>
      </c>
      <c r="B10" s="125" t="n"/>
      <c r="C10" s="125" t="n"/>
      <c r="D10" s="125" t="n"/>
      <c r="E10" s="125" t="n"/>
      <c r="F10" s="125" t="n"/>
      <c r="G10" s="126" t="n"/>
      <c r="H10" s="126" t="n"/>
      <c r="I10" s="126" t="n"/>
      <c r="J10" s="126" t="n"/>
      <c r="K10" s="125" t="n"/>
      <c r="L10" s="127" t="n"/>
      <c r="M10" s="127" t="n"/>
      <c r="N10" s="125" t="n"/>
      <c r="O10" s="125" t="n"/>
      <c r="P10" s="125" t="n"/>
      <c r="Q10" s="127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</row>
    <row r="11">
      <c r="A11" s="118">
        <f>IF(COUNTA(B11:Z11)=0,"待填写",IF(OR(B11="",AND(C11="",D11="",E11=""),F11="",G11="",H11="",I11="",J11="",N11="",O11="",P11="",Q11="",R11="",S11="",T11="",U11="",V11="",X11="",AND(OR(J11="SUPPLIER",J11="PLATFORM",J11="WEB"),L11="")),"请补全必填",IF(COUNTIF($B$5:$B$104,B11)&gt;1,"ID重复",IF(OR(AND(C11&lt;&gt;"",COUNTIF('水晶主数据'!$B$5:$B$54,C11)=0),AND(D11&lt;&gt;"",COUNTIF('珠子SKU'!$C$5:$C$104,D11)=0),AND(E11&lt;&gt;"",COUNTIF('库存批次'!$B$5:$B$104,E11)=0)),"关联不存在",IF(OR(ISNA(MATCH(H11,'_枚举'!$J$2:$J$8,0)),ISNA(MATCH(I11,'_枚举'!$C$2:$C$3,0)),ISNA(MATCH(J11,'_枚举'!$K$2:$K$6,0)),ISNA(MATCH(N11,'_枚举'!$L$2:$L$6,0)),ISNA(MATCH(O11,'_枚举'!$C$2:$C$3,0)),ISNA(MATCH(P11,'_枚举'!$C$2:$C$3,0)),ISNA(MATCH(Q11,'_枚举'!$C$2:$C$3,0)),ISNA(MATCH(R11,'_枚举'!$A$2:$A$4,0)),ISNA(MATCH(S11,'_枚举'!$B$2:$B$5,0)),ISNA(MATCH(T11,'_枚举'!$C$2:$C$3,0)),ISNA(MATCH(U11,'_枚举'!$C$2:$C$3,0)),ISNA(MATCH(V11,'_枚举'!$C$2:$C$3,0)),ISNA(MATCH(X11,'_枚举'!$M$2:$M$4,0))),"枚举错误",IF(AND(W11&lt;&gt;"",OR(LEN(W11)&lt;32,LEN(W11)&gt;128)),"格式错误",IF(OR(X11&lt;&gt;"PASSED",N11="UNKNOWN",AND(O11="TRUE",N11&lt;&gt;"OWNED",N11&lt;&gt;"AUTHORIZED",N11&lt;&gt;"PUBLIC_DOMAIN"),AND(P11="TRUE",N11&lt;&gt;"OWNED",N11&lt;&gt;"AUTHORIZED",N11&lt;&gt;"PUBLIC_DOMAIN"),U11="TRUE",V11="TRUE",AND(T11="TRUE",I11&lt;&gt;"TRUE")),"待人工复核","可导入")))))))</f>
        <v/>
      </c>
      <c r="B11" s="125" t="n"/>
      <c r="C11" s="125" t="n"/>
      <c r="D11" s="125" t="n"/>
      <c r="E11" s="125" t="n"/>
      <c r="F11" s="125" t="n"/>
      <c r="G11" s="126" t="n"/>
      <c r="H11" s="126" t="n"/>
      <c r="I11" s="126" t="n"/>
      <c r="J11" s="126" t="n"/>
      <c r="K11" s="125" t="n"/>
      <c r="L11" s="127" t="n"/>
      <c r="M11" s="127" t="n"/>
      <c r="N11" s="125" t="n"/>
      <c r="O11" s="125" t="n"/>
      <c r="P11" s="125" t="n"/>
      <c r="Q11" s="127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</row>
    <row r="12">
      <c r="A12" s="118">
        <f>IF(COUNTA(B12:Z12)=0,"待填写",IF(OR(B12="",AND(C12="",D12="",E12=""),F12="",G12="",H12="",I12="",J12="",N12="",O12="",P12="",Q12="",R12="",S12="",T12="",U12="",V12="",X12="",AND(OR(J12="SUPPLIER",J12="PLATFORM",J12="WEB"),L12="")),"请补全必填",IF(COUNTIF($B$5:$B$104,B12)&gt;1,"ID重复",IF(OR(AND(C12&lt;&gt;"",COUNTIF('水晶主数据'!$B$5:$B$54,C12)=0),AND(D12&lt;&gt;"",COUNTIF('珠子SKU'!$C$5:$C$104,D12)=0),AND(E12&lt;&gt;"",COUNTIF('库存批次'!$B$5:$B$104,E12)=0)),"关联不存在",IF(OR(ISNA(MATCH(H12,'_枚举'!$J$2:$J$8,0)),ISNA(MATCH(I12,'_枚举'!$C$2:$C$3,0)),ISNA(MATCH(J12,'_枚举'!$K$2:$K$6,0)),ISNA(MATCH(N12,'_枚举'!$L$2:$L$6,0)),ISNA(MATCH(O12,'_枚举'!$C$2:$C$3,0)),ISNA(MATCH(P12,'_枚举'!$C$2:$C$3,0)),ISNA(MATCH(Q12,'_枚举'!$C$2:$C$3,0)),ISNA(MATCH(R12,'_枚举'!$A$2:$A$4,0)),ISNA(MATCH(S12,'_枚举'!$B$2:$B$5,0)),ISNA(MATCH(T12,'_枚举'!$C$2:$C$3,0)),ISNA(MATCH(U12,'_枚举'!$C$2:$C$3,0)),ISNA(MATCH(V12,'_枚举'!$C$2:$C$3,0)),ISNA(MATCH(X12,'_枚举'!$M$2:$M$4,0))),"枚举错误",IF(AND(W12&lt;&gt;"",OR(LEN(W12)&lt;32,LEN(W12)&gt;128)),"格式错误",IF(OR(X12&lt;&gt;"PASSED",N12="UNKNOWN",AND(O12="TRUE",N12&lt;&gt;"OWNED",N12&lt;&gt;"AUTHORIZED",N12&lt;&gt;"PUBLIC_DOMAIN"),AND(P12="TRUE",N12&lt;&gt;"OWNED",N12&lt;&gt;"AUTHORIZED",N12&lt;&gt;"PUBLIC_DOMAIN"),U12="TRUE",V12="TRUE",AND(T12="TRUE",I12&lt;&gt;"TRUE")),"待人工复核","可导入")))))))</f>
        <v/>
      </c>
      <c r="B12" s="125" t="n"/>
      <c r="C12" s="125" t="n"/>
      <c r="D12" s="125" t="n"/>
      <c r="E12" s="125" t="n"/>
      <c r="F12" s="125" t="n"/>
      <c r="G12" s="126" t="n"/>
      <c r="H12" s="126" t="n"/>
      <c r="I12" s="126" t="n"/>
      <c r="J12" s="126" t="n"/>
      <c r="K12" s="125" t="n"/>
      <c r="L12" s="127" t="n"/>
      <c r="M12" s="127" t="n"/>
      <c r="N12" s="125" t="n"/>
      <c r="O12" s="125" t="n"/>
      <c r="P12" s="125" t="n"/>
      <c r="Q12" s="127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</row>
    <row r="13">
      <c r="A13" s="118">
        <f>IF(COUNTA(B13:Z13)=0,"待填写",IF(OR(B13="",AND(C13="",D13="",E13=""),F13="",G13="",H13="",I13="",J13="",N13="",O13="",P13="",Q13="",R13="",S13="",T13="",U13="",V13="",X13="",AND(OR(J13="SUPPLIER",J13="PLATFORM",J13="WEB"),L13="")),"请补全必填",IF(COUNTIF($B$5:$B$104,B13)&gt;1,"ID重复",IF(OR(AND(C13&lt;&gt;"",COUNTIF('水晶主数据'!$B$5:$B$54,C13)=0),AND(D13&lt;&gt;"",COUNTIF('珠子SKU'!$C$5:$C$104,D13)=0),AND(E13&lt;&gt;"",COUNTIF('库存批次'!$B$5:$B$104,E13)=0)),"关联不存在",IF(OR(ISNA(MATCH(H13,'_枚举'!$J$2:$J$8,0)),ISNA(MATCH(I13,'_枚举'!$C$2:$C$3,0)),ISNA(MATCH(J13,'_枚举'!$K$2:$K$6,0)),ISNA(MATCH(N13,'_枚举'!$L$2:$L$6,0)),ISNA(MATCH(O13,'_枚举'!$C$2:$C$3,0)),ISNA(MATCH(P13,'_枚举'!$C$2:$C$3,0)),ISNA(MATCH(Q13,'_枚举'!$C$2:$C$3,0)),ISNA(MATCH(R13,'_枚举'!$A$2:$A$4,0)),ISNA(MATCH(S13,'_枚举'!$B$2:$B$5,0)),ISNA(MATCH(T13,'_枚举'!$C$2:$C$3,0)),ISNA(MATCH(U13,'_枚举'!$C$2:$C$3,0)),ISNA(MATCH(V13,'_枚举'!$C$2:$C$3,0)),ISNA(MATCH(X13,'_枚举'!$M$2:$M$4,0))),"枚举错误",IF(AND(W13&lt;&gt;"",OR(LEN(W13)&lt;32,LEN(W13)&gt;128)),"格式错误",IF(OR(X13&lt;&gt;"PASSED",N13="UNKNOWN",AND(O13="TRUE",N13&lt;&gt;"OWNED",N13&lt;&gt;"AUTHORIZED",N13&lt;&gt;"PUBLIC_DOMAIN"),AND(P13="TRUE",N13&lt;&gt;"OWNED",N13&lt;&gt;"AUTHORIZED",N13&lt;&gt;"PUBLIC_DOMAIN"),U13="TRUE",V13="TRUE",AND(T13="TRUE",I13&lt;&gt;"TRUE")),"待人工复核","可导入")))))))</f>
        <v/>
      </c>
      <c r="B13" s="125" t="n"/>
      <c r="C13" s="125" t="n"/>
      <c r="D13" s="125" t="n"/>
      <c r="E13" s="125" t="n"/>
      <c r="F13" s="125" t="n"/>
      <c r="G13" s="126" t="n"/>
      <c r="H13" s="126" t="n"/>
      <c r="I13" s="126" t="n"/>
      <c r="J13" s="126" t="n"/>
      <c r="K13" s="125" t="n"/>
      <c r="L13" s="127" t="n"/>
      <c r="M13" s="127" t="n"/>
      <c r="N13" s="125" t="n"/>
      <c r="O13" s="125" t="n"/>
      <c r="P13" s="125" t="n"/>
      <c r="Q13" s="127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</row>
    <row r="14">
      <c r="A14" s="118">
        <f>IF(COUNTA(B14:Z14)=0,"待填写",IF(OR(B14="",AND(C14="",D14="",E14=""),F14="",G14="",H14="",I14="",J14="",N14="",O14="",P14="",Q14="",R14="",S14="",T14="",U14="",V14="",X14="",AND(OR(J14="SUPPLIER",J14="PLATFORM",J14="WEB"),L14="")),"请补全必填",IF(COUNTIF($B$5:$B$104,B14)&gt;1,"ID重复",IF(OR(AND(C14&lt;&gt;"",COUNTIF('水晶主数据'!$B$5:$B$54,C14)=0),AND(D14&lt;&gt;"",COUNTIF('珠子SKU'!$C$5:$C$104,D14)=0),AND(E14&lt;&gt;"",COUNTIF('库存批次'!$B$5:$B$104,E14)=0)),"关联不存在",IF(OR(ISNA(MATCH(H14,'_枚举'!$J$2:$J$8,0)),ISNA(MATCH(I14,'_枚举'!$C$2:$C$3,0)),ISNA(MATCH(J14,'_枚举'!$K$2:$K$6,0)),ISNA(MATCH(N14,'_枚举'!$L$2:$L$6,0)),ISNA(MATCH(O14,'_枚举'!$C$2:$C$3,0)),ISNA(MATCH(P14,'_枚举'!$C$2:$C$3,0)),ISNA(MATCH(Q14,'_枚举'!$C$2:$C$3,0)),ISNA(MATCH(R14,'_枚举'!$A$2:$A$4,0)),ISNA(MATCH(S14,'_枚举'!$B$2:$B$5,0)),ISNA(MATCH(T14,'_枚举'!$C$2:$C$3,0)),ISNA(MATCH(U14,'_枚举'!$C$2:$C$3,0)),ISNA(MATCH(V14,'_枚举'!$C$2:$C$3,0)),ISNA(MATCH(X14,'_枚举'!$M$2:$M$4,0))),"枚举错误",IF(AND(W14&lt;&gt;"",OR(LEN(W14)&lt;32,LEN(W14)&gt;128)),"格式错误",IF(OR(X14&lt;&gt;"PASSED",N14="UNKNOWN",AND(O14="TRUE",N14&lt;&gt;"OWNED",N14&lt;&gt;"AUTHORIZED",N14&lt;&gt;"PUBLIC_DOMAIN"),AND(P14="TRUE",N14&lt;&gt;"OWNED",N14&lt;&gt;"AUTHORIZED",N14&lt;&gt;"PUBLIC_DOMAIN"),U14="TRUE",V14="TRUE",AND(T14="TRUE",I14&lt;&gt;"TRUE")),"待人工复核","可导入")))))))</f>
        <v/>
      </c>
      <c r="B14" s="125" t="n"/>
      <c r="C14" s="125" t="n"/>
      <c r="D14" s="125" t="n"/>
      <c r="E14" s="125" t="n"/>
      <c r="F14" s="125" t="n"/>
      <c r="G14" s="126" t="n"/>
      <c r="H14" s="126" t="n"/>
      <c r="I14" s="126" t="n"/>
      <c r="J14" s="126" t="n"/>
      <c r="K14" s="125" t="n"/>
      <c r="L14" s="127" t="n"/>
      <c r="M14" s="127" t="n"/>
      <c r="N14" s="125" t="n"/>
      <c r="O14" s="125" t="n"/>
      <c r="P14" s="125" t="n"/>
      <c r="Q14" s="127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</row>
    <row r="15">
      <c r="A15" s="118">
        <f>IF(COUNTA(B15:Z15)=0,"待填写",IF(OR(B15="",AND(C15="",D15="",E15=""),F15="",G15="",H15="",I15="",J15="",N15="",O15="",P15="",Q15="",R15="",S15="",T15="",U15="",V15="",X15="",AND(OR(J15="SUPPLIER",J15="PLATFORM",J15="WEB"),L15="")),"请补全必填",IF(COUNTIF($B$5:$B$104,B15)&gt;1,"ID重复",IF(OR(AND(C15&lt;&gt;"",COUNTIF('水晶主数据'!$B$5:$B$54,C15)=0),AND(D15&lt;&gt;"",COUNTIF('珠子SKU'!$C$5:$C$104,D15)=0),AND(E15&lt;&gt;"",COUNTIF('库存批次'!$B$5:$B$104,E15)=0)),"关联不存在",IF(OR(ISNA(MATCH(H15,'_枚举'!$J$2:$J$8,0)),ISNA(MATCH(I15,'_枚举'!$C$2:$C$3,0)),ISNA(MATCH(J15,'_枚举'!$K$2:$K$6,0)),ISNA(MATCH(N15,'_枚举'!$L$2:$L$6,0)),ISNA(MATCH(O15,'_枚举'!$C$2:$C$3,0)),ISNA(MATCH(P15,'_枚举'!$C$2:$C$3,0)),ISNA(MATCH(Q15,'_枚举'!$C$2:$C$3,0)),ISNA(MATCH(R15,'_枚举'!$A$2:$A$4,0)),ISNA(MATCH(S15,'_枚举'!$B$2:$B$5,0)),ISNA(MATCH(T15,'_枚举'!$C$2:$C$3,0)),ISNA(MATCH(U15,'_枚举'!$C$2:$C$3,0)),ISNA(MATCH(V15,'_枚举'!$C$2:$C$3,0)),ISNA(MATCH(X15,'_枚举'!$M$2:$M$4,0))),"枚举错误",IF(AND(W15&lt;&gt;"",OR(LEN(W15)&lt;32,LEN(W15)&gt;128)),"格式错误",IF(OR(X15&lt;&gt;"PASSED",N15="UNKNOWN",AND(O15="TRUE",N15&lt;&gt;"OWNED",N15&lt;&gt;"AUTHORIZED",N15&lt;&gt;"PUBLIC_DOMAIN"),AND(P15="TRUE",N15&lt;&gt;"OWNED",N15&lt;&gt;"AUTHORIZED",N15&lt;&gt;"PUBLIC_DOMAIN"),U15="TRUE",V15="TRUE",AND(T15="TRUE",I15&lt;&gt;"TRUE")),"待人工复核","可导入")))))))</f>
        <v/>
      </c>
      <c r="B15" s="125" t="n"/>
      <c r="C15" s="125" t="n"/>
      <c r="D15" s="125" t="n"/>
      <c r="E15" s="125" t="n"/>
      <c r="F15" s="125" t="n"/>
      <c r="G15" s="126" t="n"/>
      <c r="H15" s="126" t="n"/>
      <c r="I15" s="126" t="n"/>
      <c r="J15" s="126" t="n"/>
      <c r="K15" s="125" t="n"/>
      <c r="L15" s="127" t="n"/>
      <c r="M15" s="127" t="n"/>
      <c r="N15" s="125" t="n"/>
      <c r="O15" s="125" t="n"/>
      <c r="P15" s="125" t="n"/>
      <c r="Q15" s="127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</row>
    <row r="16">
      <c r="A16" s="118">
        <f>IF(COUNTA(B16:Z16)=0,"待填写",IF(OR(B16="",AND(C16="",D16="",E16=""),F16="",G16="",H16="",I16="",J16="",N16="",O16="",P16="",Q16="",R16="",S16="",T16="",U16="",V16="",X16="",AND(OR(J16="SUPPLIER",J16="PLATFORM",J16="WEB"),L16="")),"请补全必填",IF(COUNTIF($B$5:$B$104,B16)&gt;1,"ID重复",IF(OR(AND(C16&lt;&gt;"",COUNTIF('水晶主数据'!$B$5:$B$54,C16)=0),AND(D16&lt;&gt;"",COUNTIF('珠子SKU'!$C$5:$C$104,D16)=0),AND(E16&lt;&gt;"",COUNTIF('库存批次'!$B$5:$B$104,E16)=0)),"关联不存在",IF(OR(ISNA(MATCH(H16,'_枚举'!$J$2:$J$8,0)),ISNA(MATCH(I16,'_枚举'!$C$2:$C$3,0)),ISNA(MATCH(J16,'_枚举'!$K$2:$K$6,0)),ISNA(MATCH(N16,'_枚举'!$L$2:$L$6,0)),ISNA(MATCH(O16,'_枚举'!$C$2:$C$3,0)),ISNA(MATCH(P16,'_枚举'!$C$2:$C$3,0)),ISNA(MATCH(Q16,'_枚举'!$C$2:$C$3,0)),ISNA(MATCH(R16,'_枚举'!$A$2:$A$4,0)),ISNA(MATCH(S16,'_枚举'!$B$2:$B$5,0)),ISNA(MATCH(T16,'_枚举'!$C$2:$C$3,0)),ISNA(MATCH(U16,'_枚举'!$C$2:$C$3,0)),ISNA(MATCH(V16,'_枚举'!$C$2:$C$3,0)),ISNA(MATCH(X16,'_枚举'!$M$2:$M$4,0))),"枚举错误",IF(AND(W16&lt;&gt;"",OR(LEN(W16)&lt;32,LEN(W16)&gt;128)),"格式错误",IF(OR(X16&lt;&gt;"PASSED",N16="UNKNOWN",AND(O16="TRUE",N16&lt;&gt;"OWNED",N16&lt;&gt;"AUTHORIZED",N16&lt;&gt;"PUBLIC_DOMAIN"),AND(P16="TRUE",N16&lt;&gt;"OWNED",N16&lt;&gt;"AUTHORIZED",N16&lt;&gt;"PUBLIC_DOMAIN"),U16="TRUE",V16="TRUE",AND(T16="TRUE",I16&lt;&gt;"TRUE")),"待人工复核","可导入")))))))</f>
        <v/>
      </c>
      <c r="B16" s="125" t="n"/>
      <c r="C16" s="125" t="n"/>
      <c r="D16" s="125" t="n"/>
      <c r="E16" s="125" t="n"/>
      <c r="F16" s="125" t="n"/>
      <c r="G16" s="126" t="n"/>
      <c r="H16" s="126" t="n"/>
      <c r="I16" s="126" t="n"/>
      <c r="J16" s="126" t="n"/>
      <c r="K16" s="125" t="n"/>
      <c r="L16" s="127" t="n"/>
      <c r="M16" s="127" t="n"/>
      <c r="N16" s="125" t="n"/>
      <c r="O16" s="125" t="n"/>
      <c r="P16" s="125" t="n"/>
      <c r="Q16" s="127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</row>
    <row r="17">
      <c r="A17" s="118">
        <f>IF(COUNTA(B17:Z17)=0,"待填写",IF(OR(B17="",AND(C17="",D17="",E17=""),F17="",G17="",H17="",I17="",J17="",N17="",O17="",P17="",Q17="",R17="",S17="",T17="",U17="",V17="",X17="",AND(OR(J17="SUPPLIER",J17="PLATFORM",J17="WEB"),L17="")),"请补全必填",IF(COUNTIF($B$5:$B$104,B17)&gt;1,"ID重复",IF(OR(AND(C17&lt;&gt;"",COUNTIF('水晶主数据'!$B$5:$B$54,C17)=0),AND(D17&lt;&gt;"",COUNTIF('珠子SKU'!$C$5:$C$104,D17)=0),AND(E17&lt;&gt;"",COUNTIF('库存批次'!$B$5:$B$104,E17)=0)),"关联不存在",IF(OR(ISNA(MATCH(H17,'_枚举'!$J$2:$J$8,0)),ISNA(MATCH(I17,'_枚举'!$C$2:$C$3,0)),ISNA(MATCH(J17,'_枚举'!$K$2:$K$6,0)),ISNA(MATCH(N17,'_枚举'!$L$2:$L$6,0)),ISNA(MATCH(O17,'_枚举'!$C$2:$C$3,0)),ISNA(MATCH(P17,'_枚举'!$C$2:$C$3,0)),ISNA(MATCH(Q17,'_枚举'!$C$2:$C$3,0)),ISNA(MATCH(R17,'_枚举'!$A$2:$A$4,0)),ISNA(MATCH(S17,'_枚举'!$B$2:$B$5,0)),ISNA(MATCH(T17,'_枚举'!$C$2:$C$3,0)),ISNA(MATCH(U17,'_枚举'!$C$2:$C$3,0)),ISNA(MATCH(V17,'_枚举'!$C$2:$C$3,0)),ISNA(MATCH(X17,'_枚举'!$M$2:$M$4,0))),"枚举错误",IF(AND(W17&lt;&gt;"",OR(LEN(W17)&lt;32,LEN(W17)&gt;128)),"格式错误",IF(OR(X17&lt;&gt;"PASSED",N17="UNKNOWN",AND(O17="TRUE",N17&lt;&gt;"OWNED",N17&lt;&gt;"AUTHORIZED",N17&lt;&gt;"PUBLIC_DOMAIN"),AND(P17="TRUE",N17&lt;&gt;"OWNED",N17&lt;&gt;"AUTHORIZED",N17&lt;&gt;"PUBLIC_DOMAIN"),U17="TRUE",V17="TRUE",AND(T17="TRUE",I17&lt;&gt;"TRUE")),"待人工复核","可导入")))))))</f>
        <v/>
      </c>
      <c r="B17" s="125" t="n"/>
      <c r="C17" s="125" t="n"/>
      <c r="D17" s="125" t="n"/>
      <c r="E17" s="125" t="n"/>
      <c r="F17" s="125" t="n"/>
      <c r="G17" s="126" t="n"/>
      <c r="H17" s="126" t="n"/>
      <c r="I17" s="126" t="n"/>
      <c r="J17" s="126" t="n"/>
      <c r="K17" s="125" t="n"/>
      <c r="L17" s="127" t="n"/>
      <c r="M17" s="127" t="n"/>
      <c r="N17" s="125" t="n"/>
      <c r="O17" s="125" t="n"/>
      <c r="P17" s="125" t="n"/>
      <c r="Q17" s="127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</row>
    <row r="18">
      <c r="A18" s="118">
        <f>IF(COUNTA(B18:Z18)=0,"待填写",IF(OR(B18="",AND(C18="",D18="",E18=""),F18="",G18="",H18="",I18="",J18="",N18="",O18="",P18="",Q18="",R18="",S18="",T18="",U18="",V18="",X18="",AND(OR(J18="SUPPLIER",J18="PLATFORM",J18="WEB"),L18="")),"请补全必填",IF(COUNTIF($B$5:$B$104,B18)&gt;1,"ID重复",IF(OR(AND(C18&lt;&gt;"",COUNTIF('水晶主数据'!$B$5:$B$54,C18)=0),AND(D18&lt;&gt;"",COUNTIF('珠子SKU'!$C$5:$C$104,D18)=0),AND(E18&lt;&gt;"",COUNTIF('库存批次'!$B$5:$B$104,E18)=0)),"关联不存在",IF(OR(ISNA(MATCH(H18,'_枚举'!$J$2:$J$8,0)),ISNA(MATCH(I18,'_枚举'!$C$2:$C$3,0)),ISNA(MATCH(J18,'_枚举'!$K$2:$K$6,0)),ISNA(MATCH(N18,'_枚举'!$L$2:$L$6,0)),ISNA(MATCH(O18,'_枚举'!$C$2:$C$3,0)),ISNA(MATCH(P18,'_枚举'!$C$2:$C$3,0)),ISNA(MATCH(Q18,'_枚举'!$C$2:$C$3,0)),ISNA(MATCH(R18,'_枚举'!$A$2:$A$4,0)),ISNA(MATCH(S18,'_枚举'!$B$2:$B$5,0)),ISNA(MATCH(T18,'_枚举'!$C$2:$C$3,0)),ISNA(MATCH(U18,'_枚举'!$C$2:$C$3,0)),ISNA(MATCH(V18,'_枚举'!$C$2:$C$3,0)),ISNA(MATCH(X18,'_枚举'!$M$2:$M$4,0))),"枚举错误",IF(AND(W18&lt;&gt;"",OR(LEN(W18)&lt;32,LEN(W18)&gt;128)),"格式错误",IF(OR(X18&lt;&gt;"PASSED",N18="UNKNOWN",AND(O18="TRUE",N18&lt;&gt;"OWNED",N18&lt;&gt;"AUTHORIZED",N18&lt;&gt;"PUBLIC_DOMAIN"),AND(P18="TRUE",N18&lt;&gt;"OWNED",N18&lt;&gt;"AUTHORIZED",N18&lt;&gt;"PUBLIC_DOMAIN"),U18="TRUE",V18="TRUE",AND(T18="TRUE",I18&lt;&gt;"TRUE")),"待人工复核","可导入")))))))</f>
        <v/>
      </c>
      <c r="B18" s="125" t="n"/>
      <c r="C18" s="125" t="n"/>
      <c r="D18" s="125" t="n"/>
      <c r="E18" s="125" t="n"/>
      <c r="F18" s="125" t="n"/>
      <c r="G18" s="126" t="n"/>
      <c r="H18" s="126" t="n"/>
      <c r="I18" s="126" t="n"/>
      <c r="J18" s="126" t="n"/>
      <c r="K18" s="125" t="n"/>
      <c r="L18" s="127" t="n"/>
      <c r="M18" s="127" t="n"/>
      <c r="N18" s="125" t="n"/>
      <c r="O18" s="125" t="n"/>
      <c r="P18" s="125" t="n"/>
      <c r="Q18" s="127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</row>
    <row r="19">
      <c r="A19" s="118">
        <f>IF(COUNTA(B19:Z19)=0,"待填写",IF(OR(B19="",AND(C19="",D19="",E19=""),F19="",G19="",H19="",I19="",J19="",N19="",O19="",P19="",Q19="",R19="",S19="",T19="",U19="",V19="",X19="",AND(OR(J19="SUPPLIER",J19="PLATFORM",J19="WEB"),L19="")),"请补全必填",IF(COUNTIF($B$5:$B$104,B19)&gt;1,"ID重复",IF(OR(AND(C19&lt;&gt;"",COUNTIF('水晶主数据'!$B$5:$B$54,C19)=0),AND(D19&lt;&gt;"",COUNTIF('珠子SKU'!$C$5:$C$104,D19)=0),AND(E19&lt;&gt;"",COUNTIF('库存批次'!$B$5:$B$104,E19)=0)),"关联不存在",IF(OR(ISNA(MATCH(H19,'_枚举'!$J$2:$J$8,0)),ISNA(MATCH(I19,'_枚举'!$C$2:$C$3,0)),ISNA(MATCH(J19,'_枚举'!$K$2:$K$6,0)),ISNA(MATCH(N19,'_枚举'!$L$2:$L$6,0)),ISNA(MATCH(O19,'_枚举'!$C$2:$C$3,0)),ISNA(MATCH(P19,'_枚举'!$C$2:$C$3,0)),ISNA(MATCH(Q19,'_枚举'!$C$2:$C$3,0)),ISNA(MATCH(R19,'_枚举'!$A$2:$A$4,0)),ISNA(MATCH(S19,'_枚举'!$B$2:$B$5,0)),ISNA(MATCH(T19,'_枚举'!$C$2:$C$3,0)),ISNA(MATCH(U19,'_枚举'!$C$2:$C$3,0)),ISNA(MATCH(V19,'_枚举'!$C$2:$C$3,0)),ISNA(MATCH(X19,'_枚举'!$M$2:$M$4,0))),"枚举错误",IF(AND(W19&lt;&gt;"",OR(LEN(W19)&lt;32,LEN(W19)&gt;128)),"格式错误",IF(OR(X19&lt;&gt;"PASSED",N19="UNKNOWN",AND(O19="TRUE",N19&lt;&gt;"OWNED",N19&lt;&gt;"AUTHORIZED",N19&lt;&gt;"PUBLIC_DOMAIN"),AND(P19="TRUE",N19&lt;&gt;"OWNED",N19&lt;&gt;"AUTHORIZED",N19&lt;&gt;"PUBLIC_DOMAIN"),U19="TRUE",V19="TRUE",AND(T19="TRUE",I19&lt;&gt;"TRUE")),"待人工复核","可导入")))))))</f>
        <v/>
      </c>
      <c r="B19" s="125" t="n"/>
      <c r="C19" s="125" t="n"/>
      <c r="D19" s="125" t="n"/>
      <c r="E19" s="125" t="n"/>
      <c r="F19" s="125" t="n"/>
      <c r="G19" s="126" t="n"/>
      <c r="H19" s="126" t="n"/>
      <c r="I19" s="126" t="n"/>
      <c r="J19" s="126" t="n"/>
      <c r="K19" s="125" t="n"/>
      <c r="L19" s="127" t="n"/>
      <c r="M19" s="127" t="n"/>
      <c r="N19" s="125" t="n"/>
      <c r="O19" s="125" t="n"/>
      <c r="P19" s="125" t="n"/>
      <c r="Q19" s="127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</row>
    <row r="20">
      <c r="A20" s="118">
        <f>IF(COUNTA(B20:Z20)=0,"待填写",IF(OR(B20="",AND(C20="",D20="",E20=""),F20="",G20="",H20="",I20="",J20="",N20="",O20="",P20="",Q20="",R20="",S20="",T20="",U20="",V20="",X20="",AND(OR(J20="SUPPLIER",J20="PLATFORM",J20="WEB"),L20="")),"请补全必填",IF(COUNTIF($B$5:$B$104,B20)&gt;1,"ID重复",IF(OR(AND(C20&lt;&gt;"",COUNTIF('水晶主数据'!$B$5:$B$54,C20)=0),AND(D20&lt;&gt;"",COUNTIF('珠子SKU'!$C$5:$C$104,D20)=0),AND(E20&lt;&gt;"",COUNTIF('库存批次'!$B$5:$B$104,E20)=0)),"关联不存在",IF(OR(ISNA(MATCH(H20,'_枚举'!$J$2:$J$8,0)),ISNA(MATCH(I20,'_枚举'!$C$2:$C$3,0)),ISNA(MATCH(J20,'_枚举'!$K$2:$K$6,0)),ISNA(MATCH(N20,'_枚举'!$L$2:$L$6,0)),ISNA(MATCH(O20,'_枚举'!$C$2:$C$3,0)),ISNA(MATCH(P20,'_枚举'!$C$2:$C$3,0)),ISNA(MATCH(Q20,'_枚举'!$C$2:$C$3,0)),ISNA(MATCH(R20,'_枚举'!$A$2:$A$4,0)),ISNA(MATCH(S20,'_枚举'!$B$2:$B$5,0)),ISNA(MATCH(T20,'_枚举'!$C$2:$C$3,0)),ISNA(MATCH(U20,'_枚举'!$C$2:$C$3,0)),ISNA(MATCH(V20,'_枚举'!$C$2:$C$3,0)),ISNA(MATCH(X20,'_枚举'!$M$2:$M$4,0))),"枚举错误",IF(AND(W20&lt;&gt;"",OR(LEN(W20)&lt;32,LEN(W20)&gt;128)),"格式错误",IF(OR(X20&lt;&gt;"PASSED",N20="UNKNOWN",AND(O20="TRUE",N20&lt;&gt;"OWNED",N20&lt;&gt;"AUTHORIZED",N20&lt;&gt;"PUBLIC_DOMAIN"),AND(P20="TRUE",N20&lt;&gt;"OWNED",N20&lt;&gt;"AUTHORIZED",N20&lt;&gt;"PUBLIC_DOMAIN"),U20="TRUE",V20="TRUE",AND(T20="TRUE",I20&lt;&gt;"TRUE")),"待人工复核","可导入")))))))</f>
        <v/>
      </c>
      <c r="B20" s="125" t="n"/>
      <c r="C20" s="125" t="n"/>
      <c r="D20" s="125" t="n"/>
      <c r="E20" s="125" t="n"/>
      <c r="F20" s="125" t="n"/>
      <c r="G20" s="126" t="n"/>
      <c r="H20" s="126" t="n"/>
      <c r="I20" s="126" t="n"/>
      <c r="J20" s="126" t="n"/>
      <c r="K20" s="125" t="n"/>
      <c r="L20" s="127" t="n"/>
      <c r="M20" s="127" t="n"/>
      <c r="N20" s="125" t="n"/>
      <c r="O20" s="125" t="n"/>
      <c r="P20" s="125" t="n"/>
      <c r="Q20" s="127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</row>
    <row r="21">
      <c r="A21" s="118">
        <f>IF(COUNTA(B21:Z21)=0,"待填写",IF(OR(B21="",AND(C21="",D21="",E21=""),F21="",G21="",H21="",I21="",J21="",N21="",O21="",P21="",Q21="",R21="",S21="",T21="",U21="",V21="",X21="",AND(OR(J21="SUPPLIER",J21="PLATFORM",J21="WEB"),L21="")),"请补全必填",IF(COUNTIF($B$5:$B$104,B21)&gt;1,"ID重复",IF(OR(AND(C21&lt;&gt;"",COUNTIF('水晶主数据'!$B$5:$B$54,C21)=0),AND(D21&lt;&gt;"",COUNTIF('珠子SKU'!$C$5:$C$104,D21)=0),AND(E21&lt;&gt;"",COUNTIF('库存批次'!$B$5:$B$104,E21)=0)),"关联不存在",IF(OR(ISNA(MATCH(H21,'_枚举'!$J$2:$J$8,0)),ISNA(MATCH(I21,'_枚举'!$C$2:$C$3,0)),ISNA(MATCH(J21,'_枚举'!$K$2:$K$6,0)),ISNA(MATCH(N21,'_枚举'!$L$2:$L$6,0)),ISNA(MATCH(O21,'_枚举'!$C$2:$C$3,0)),ISNA(MATCH(P21,'_枚举'!$C$2:$C$3,0)),ISNA(MATCH(Q21,'_枚举'!$C$2:$C$3,0)),ISNA(MATCH(R21,'_枚举'!$A$2:$A$4,0)),ISNA(MATCH(S21,'_枚举'!$B$2:$B$5,0)),ISNA(MATCH(T21,'_枚举'!$C$2:$C$3,0)),ISNA(MATCH(U21,'_枚举'!$C$2:$C$3,0)),ISNA(MATCH(V21,'_枚举'!$C$2:$C$3,0)),ISNA(MATCH(X21,'_枚举'!$M$2:$M$4,0))),"枚举错误",IF(AND(W21&lt;&gt;"",OR(LEN(W21)&lt;32,LEN(W21)&gt;128)),"格式错误",IF(OR(X21&lt;&gt;"PASSED",N21="UNKNOWN",AND(O21="TRUE",N21&lt;&gt;"OWNED",N21&lt;&gt;"AUTHORIZED",N21&lt;&gt;"PUBLIC_DOMAIN"),AND(P21="TRUE",N21&lt;&gt;"OWNED",N21&lt;&gt;"AUTHORIZED",N21&lt;&gt;"PUBLIC_DOMAIN"),U21="TRUE",V21="TRUE",AND(T21="TRUE",I21&lt;&gt;"TRUE")),"待人工复核","可导入")))))))</f>
        <v/>
      </c>
      <c r="B21" s="125" t="n"/>
      <c r="C21" s="125" t="n"/>
      <c r="D21" s="125" t="n"/>
      <c r="E21" s="125" t="n"/>
      <c r="F21" s="125" t="n"/>
      <c r="G21" s="126" t="n"/>
      <c r="H21" s="126" t="n"/>
      <c r="I21" s="126" t="n"/>
      <c r="J21" s="126" t="n"/>
      <c r="K21" s="125" t="n"/>
      <c r="L21" s="127" t="n"/>
      <c r="M21" s="127" t="n"/>
      <c r="N21" s="125" t="n"/>
      <c r="O21" s="125" t="n"/>
      <c r="P21" s="125" t="n"/>
      <c r="Q21" s="127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</row>
    <row r="22">
      <c r="A22" s="118">
        <f>IF(COUNTA(B22:Z22)=0,"待填写",IF(OR(B22="",AND(C22="",D22="",E22=""),F22="",G22="",H22="",I22="",J22="",N22="",O22="",P22="",Q22="",R22="",S22="",T22="",U22="",V22="",X22="",AND(OR(J22="SUPPLIER",J22="PLATFORM",J22="WEB"),L22="")),"请补全必填",IF(COUNTIF($B$5:$B$104,B22)&gt;1,"ID重复",IF(OR(AND(C22&lt;&gt;"",COUNTIF('水晶主数据'!$B$5:$B$54,C22)=0),AND(D22&lt;&gt;"",COUNTIF('珠子SKU'!$C$5:$C$104,D22)=0),AND(E22&lt;&gt;"",COUNTIF('库存批次'!$B$5:$B$104,E22)=0)),"关联不存在",IF(OR(ISNA(MATCH(H22,'_枚举'!$J$2:$J$8,0)),ISNA(MATCH(I22,'_枚举'!$C$2:$C$3,0)),ISNA(MATCH(J22,'_枚举'!$K$2:$K$6,0)),ISNA(MATCH(N22,'_枚举'!$L$2:$L$6,0)),ISNA(MATCH(O22,'_枚举'!$C$2:$C$3,0)),ISNA(MATCH(P22,'_枚举'!$C$2:$C$3,0)),ISNA(MATCH(Q22,'_枚举'!$C$2:$C$3,0)),ISNA(MATCH(R22,'_枚举'!$A$2:$A$4,0)),ISNA(MATCH(S22,'_枚举'!$B$2:$B$5,0)),ISNA(MATCH(T22,'_枚举'!$C$2:$C$3,0)),ISNA(MATCH(U22,'_枚举'!$C$2:$C$3,0)),ISNA(MATCH(V22,'_枚举'!$C$2:$C$3,0)),ISNA(MATCH(X22,'_枚举'!$M$2:$M$4,0))),"枚举错误",IF(AND(W22&lt;&gt;"",OR(LEN(W22)&lt;32,LEN(W22)&gt;128)),"格式错误",IF(OR(X22&lt;&gt;"PASSED",N22="UNKNOWN",AND(O22="TRUE",N22&lt;&gt;"OWNED",N22&lt;&gt;"AUTHORIZED",N22&lt;&gt;"PUBLIC_DOMAIN"),AND(P22="TRUE",N22&lt;&gt;"OWNED",N22&lt;&gt;"AUTHORIZED",N22&lt;&gt;"PUBLIC_DOMAIN"),U22="TRUE",V22="TRUE",AND(T22="TRUE",I22&lt;&gt;"TRUE")),"待人工复核","可导入")))))))</f>
        <v/>
      </c>
      <c r="B22" s="125" t="n"/>
      <c r="C22" s="125" t="n"/>
      <c r="D22" s="125" t="n"/>
      <c r="E22" s="125" t="n"/>
      <c r="F22" s="125" t="n"/>
      <c r="G22" s="126" t="n"/>
      <c r="H22" s="126" t="n"/>
      <c r="I22" s="126" t="n"/>
      <c r="J22" s="126" t="n"/>
      <c r="K22" s="125" t="n"/>
      <c r="L22" s="127" t="n"/>
      <c r="M22" s="127" t="n"/>
      <c r="N22" s="125" t="n"/>
      <c r="O22" s="125" t="n"/>
      <c r="P22" s="125" t="n"/>
      <c r="Q22" s="127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</row>
    <row r="23">
      <c r="A23" s="118">
        <f>IF(COUNTA(B23:Z23)=0,"待填写",IF(OR(B23="",AND(C23="",D23="",E23=""),F23="",G23="",H23="",I23="",J23="",N23="",O23="",P23="",Q23="",R23="",S23="",T23="",U23="",V23="",X23="",AND(OR(J23="SUPPLIER",J23="PLATFORM",J23="WEB"),L23="")),"请补全必填",IF(COUNTIF($B$5:$B$104,B23)&gt;1,"ID重复",IF(OR(AND(C23&lt;&gt;"",COUNTIF('水晶主数据'!$B$5:$B$54,C23)=0),AND(D23&lt;&gt;"",COUNTIF('珠子SKU'!$C$5:$C$104,D23)=0),AND(E23&lt;&gt;"",COUNTIF('库存批次'!$B$5:$B$104,E23)=0)),"关联不存在",IF(OR(ISNA(MATCH(H23,'_枚举'!$J$2:$J$8,0)),ISNA(MATCH(I23,'_枚举'!$C$2:$C$3,0)),ISNA(MATCH(J23,'_枚举'!$K$2:$K$6,0)),ISNA(MATCH(N23,'_枚举'!$L$2:$L$6,0)),ISNA(MATCH(O23,'_枚举'!$C$2:$C$3,0)),ISNA(MATCH(P23,'_枚举'!$C$2:$C$3,0)),ISNA(MATCH(Q23,'_枚举'!$C$2:$C$3,0)),ISNA(MATCH(R23,'_枚举'!$A$2:$A$4,0)),ISNA(MATCH(S23,'_枚举'!$B$2:$B$5,0)),ISNA(MATCH(T23,'_枚举'!$C$2:$C$3,0)),ISNA(MATCH(U23,'_枚举'!$C$2:$C$3,0)),ISNA(MATCH(V23,'_枚举'!$C$2:$C$3,0)),ISNA(MATCH(X23,'_枚举'!$M$2:$M$4,0))),"枚举错误",IF(AND(W23&lt;&gt;"",OR(LEN(W23)&lt;32,LEN(W23)&gt;128)),"格式错误",IF(OR(X23&lt;&gt;"PASSED",N23="UNKNOWN",AND(O23="TRUE",N23&lt;&gt;"OWNED",N23&lt;&gt;"AUTHORIZED",N23&lt;&gt;"PUBLIC_DOMAIN"),AND(P23="TRUE",N23&lt;&gt;"OWNED",N23&lt;&gt;"AUTHORIZED",N23&lt;&gt;"PUBLIC_DOMAIN"),U23="TRUE",V23="TRUE",AND(T23="TRUE",I23&lt;&gt;"TRUE")),"待人工复核","可导入")))))))</f>
        <v/>
      </c>
      <c r="B23" s="125" t="n"/>
      <c r="C23" s="125" t="n"/>
      <c r="D23" s="125" t="n"/>
      <c r="E23" s="125" t="n"/>
      <c r="F23" s="125" t="n"/>
      <c r="G23" s="126" t="n"/>
      <c r="H23" s="126" t="n"/>
      <c r="I23" s="126" t="n"/>
      <c r="J23" s="126" t="n"/>
      <c r="K23" s="125" t="n"/>
      <c r="L23" s="127" t="n"/>
      <c r="M23" s="127" t="n"/>
      <c r="N23" s="125" t="n"/>
      <c r="O23" s="125" t="n"/>
      <c r="P23" s="125" t="n"/>
      <c r="Q23" s="127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</row>
    <row r="24">
      <c r="A24" s="118">
        <f>IF(COUNTA(B24:Z24)=0,"待填写",IF(OR(B24="",AND(C24="",D24="",E24=""),F24="",G24="",H24="",I24="",J24="",N24="",O24="",P24="",Q24="",R24="",S24="",T24="",U24="",V24="",X24="",AND(OR(J24="SUPPLIER",J24="PLATFORM",J24="WEB"),L24="")),"请补全必填",IF(COUNTIF($B$5:$B$104,B24)&gt;1,"ID重复",IF(OR(AND(C24&lt;&gt;"",COUNTIF('水晶主数据'!$B$5:$B$54,C24)=0),AND(D24&lt;&gt;"",COUNTIF('珠子SKU'!$C$5:$C$104,D24)=0),AND(E24&lt;&gt;"",COUNTIF('库存批次'!$B$5:$B$104,E24)=0)),"关联不存在",IF(OR(ISNA(MATCH(H24,'_枚举'!$J$2:$J$8,0)),ISNA(MATCH(I24,'_枚举'!$C$2:$C$3,0)),ISNA(MATCH(J24,'_枚举'!$K$2:$K$6,0)),ISNA(MATCH(N24,'_枚举'!$L$2:$L$6,0)),ISNA(MATCH(O24,'_枚举'!$C$2:$C$3,0)),ISNA(MATCH(P24,'_枚举'!$C$2:$C$3,0)),ISNA(MATCH(Q24,'_枚举'!$C$2:$C$3,0)),ISNA(MATCH(R24,'_枚举'!$A$2:$A$4,0)),ISNA(MATCH(S24,'_枚举'!$B$2:$B$5,0)),ISNA(MATCH(T24,'_枚举'!$C$2:$C$3,0)),ISNA(MATCH(U24,'_枚举'!$C$2:$C$3,0)),ISNA(MATCH(V24,'_枚举'!$C$2:$C$3,0)),ISNA(MATCH(X24,'_枚举'!$M$2:$M$4,0))),"枚举错误",IF(AND(W24&lt;&gt;"",OR(LEN(W24)&lt;32,LEN(W24)&gt;128)),"格式错误",IF(OR(X24&lt;&gt;"PASSED",N24="UNKNOWN",AND(O24="TRUE",N24&lt;&gt;"OWNED",N24&lt;&gt;"AUTHORIZED",N24&lt;&gt;"PUBLIC_DOMAIN"),AND(P24="TRUE",N24&lt;&gt;"OWNED",N24&lt;&gt;"AUTHORIZED",N24&lt;&gt;"PUBLIC_DOMAIN"),U24="TRUE",V24="TRUE",AND(T24="TRUE",I24&lt;&gt;"TRUE")),"待人工复核","可导入")))))))</f>
        <v/>
      </c>
      <c r="B24" s="125" t="n"/>
      <c r="C24" s="125" t="n"/>
      <c r="D24" s="125" t="n"/>
      <c r="E24" s="125" t="n"/>
      <c r="F24" s="125" t="n"/>
      <c r="G24" s="126" t="n"/>
      <c r="H24" s="126" t="n"/>
      <c r="I24" s="126" t="n"/>
      <c r="J24" s="126" t="n"/>
      <c r="K24" s="125" t="n"/>
      <c r="L24" s="127" t="n"/>
      <c r="M24" s="127" t="n"/>
      <c r="N24" s="125" t="n"/>
      <c r="O24" s="125" t="n"/>
      <c r="P24" s="125" t="n"/>
      <c r="Q24" s="127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</row>
    <row r="25">
      <c r="A25" s="118">
        <f>IF(COUNTA(B25:Z25)=0,"待填写",IF(OR(B25="",AND(C25="",D25="",E25=""),F25="",G25="",H25="",I25="",J25="",N25="",O25="",P25="",Q25="",R25="",S25="",T25="",U25="",V25="",X25="",AND(OR(J25="SUPPLIER",J25="PLATFORM",J25="WEB"),L25="")),"请补全必填",IF(COUNTIF($B$5:$B$104,B25)&gt;1,"ID重复",IF(OR(AND(C25&lt;&gt;"",COUNTIF('水晶主数据'!$B$5:$B$54,C25)=0),AND(D25&lt;&gt;"",COUNTIF('珠子SKU'!$C$5:$C$104,D25)=0),AND(E25&lt;&gt;"",COUNTIF('库存批次'!$B$5:$B$104,E25)=0)),"关联不存在",IF(OR(ISNA(MATCH(H25,'_枚举'!$J$2:$J$8,0)),ISNA(MATCH(I25,'_枚举'!$C$2:$C$3,0)),ISNA(MATCH(J25,'_枚举'!$K$2:$K$6,0)),ISNA(MATCH(N25,'_枚举'!$L$2:$L$6,0)),ISNA(MATCH(O25,'_枚举'!$C$2:$C$3,0)),ISNA(MATCH(P25,'_枚举'!$C$2:$C$3,0)),ISNA(MATCH(Q25,'_枚举'!$C$2:$C$3,0)),ISNA(MATCH(R25,'_枚举'!$A$2:$A$4,0)),ISNA(MATCH(S25,'_枚举'!$B$2:$B$5,0)),ISNA(MATCH(T25,'_枚举'!$C$2:$C$3,0)),ISNA(MATCH(U25,'_枚举'!$C$2:$C$3,0)),ISNA(MATCH(V25,'_枚举'!$C$2:$C$3,0)),ISNA(MATCH(X25,'_枚举'!$M$2:$M$4,0))),"枚举错误",IF(AND(W25&lt;&gt;"",OR(LEN(W25)&lt;32,LEN(W25)&gt;128)),"格式错误",IF(OR(X25&lt;&gt;"PASSED",N25="UNKNOWN",AND(O25="TRUE",N25&lt;&gt;"OWNED",N25&lt;&gt;"AUTHORIZED",N25&lt;&gt;"PUBLIC_DOMAIN"),AND(P25="TRUE",N25&lt;&gt;"OWNED",N25&lt;&gt;"AUTHORIZED",N25&lt;&gt;"PUBLIC_DOMAIN"),U25="TRUE",V25="TRUE",AND(T25="TRUE",I25&lt;&gt;"TRUE")),"待人工复核","可导入")))))))</f>
        <v/>
      </c>
      <c r="B25" s="125" t="n"/>
      <c r="C25" s="125" t="n"/>
      <c r="D25" s="125" t="n"/>
      <c r="E25" s="125" t="n"/>
      <c r="F25" s="125" t="n"/>
      <c r="G25" s="126" t="n"/>
      <c r="H25" s="126" t="n"/>
      <c r="I25" s="126" t="n"/>
      <c r="J25" s="126" t="n"/>
      <c r="K25" s="125" t="n"/>
      <c r="L25" s="127" t="n"/>
      <c r="M25" s="127" t="n"/>
      <c r="N25" s="125" t="n"/>
      <c r="O25" s="125" t="n"/>
      <c r="P25" s="125" t="n"/>
      <c r="Q25" s="127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</row>
    <row r="26">
      <c r="A26" s="118">
        <f>IF(COUNTA(B26:Z26)=0,"待填写",IF(OR(B26="",AND(C26="",D26="",E26=""),F26="",G26="",H26="",I26="",J26="",N26="",O26="",P26="",Q26="",R26="",S26="",T26="",U26="",V26="",X26="",AND(OR(J26="SUPPLIER",J26="PLATFORM",J26="WEB"),L26="")),"请补全必填",IF(COUNTIF($B$5:$B$104,B26)&gt;1,"ID重复",IF(OR(AND(C26&lt;&gt;"",COUNTIF('水晶主数据'!$B$5:$B$54,C26)=0),AND(D26&lt;&gt;"",COUNTIF('珠子SKU'!$C$5:$C$104,D26)=0),AND(E26&lt;&gt;"",COUNTIF('库存批次'!$B$5:$B$104,E26)=0)),"关联不存在",IF(OR(ISNA(MATCH(H26,'_枚举'!$J$2:$J$8,0)),ISNA(MATCH(I26,'_枚举'!$C$2:$C$3,0)),ISNA(MATCH(J26,'_枚举'!$K$2:$K$6,0)),ISNA(MATCH(N26,'_枚举'!$L$2:$L$6,0)),ISNA(MATCH(O26,'_枚举'!$C$2:$C$3,0)),ISNA(MATCH(P26,'_枚举'!$C$2:$C$3,0)),ISNA(MATCH(Q26,'_枚举'!$C$2:$C$3,0)),ISNA(MATCH(R26,'_枚举'!$A$2:$A$4,0)),ISNA(MATCH(S26,'_枚举'!$B$2:$B$5,0)),ISNA(MATCH(T26,'_枚举'!$C$2:$C$3,0)),ISNA(MATCH(U26,'_枚举'!$C$2:$C$3,0)),ISNA(MATCH(V26,'_枚举'!$C$2:$C$3,0)),ISNA(MATCH(X26,'_枚举'!$M$2:$M$4,0))),"枚举错误",IF(AND(W26&lt;&gt;"",OR(LEN(W26)&lt;32,LEN(W26)&gt;128)),"格式错误",IF(OR(X26&lt;&gt;"PASSED",N26="UNKNOWN",AND(O26="TRUE",N26&lt;&gt;"OWNED",N26&lt;&gt;"AUTHORIZED",N26&lt;&gt;"PUBLIC_DOMAIN"),AND(P26="TRUE",N26&lt;&gt;"OWNED",N26&lt;&gt;"AUTHORIZED",N26&lt;&gt;"PUBLIC_DOMAIN"),U26="TRUE",V26="TRUE",AND(T26="TRUE",I26&lt;&gt;"TRUE")),"待人工复核","可导入")))))))</f>
        <v/>
      </c>
      <c r="B26" s="125" t="n"/>
      <c r="C26" s="125" t="n"/>
      <c r="D26" s="125" t="n"/>
      <c r="E26" s="125" t="n"/>
      <c r="F26" s="125" t="n"/>
      <c r="G26" s="126" t="n"/>
      <c r="H26" s="126" t="n"/>
      <c r="I26" s="126" t="n"/>
      <c r="J26" s="126" t="n"/>
      <c r="K26" s="125" t="n"/>
      <c r="L26" s="127" t="n"/>
      <c r="M26" s="127" t="n"/>
      <c r="N26" s="125" t="n"/>
      <c r="O26" s="125" t="n"/>
      <c r="P26" s="125" t="n"/>
      <c r="Q26" s="127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</row>
    <row r="27">
      <c r="A27" s="118">
        <f>IF(COUNTA(B27:Z27)=0,"待填写",IF(OR(B27="",AND(C27="",D27="",E27=""),F27="",G27="",H27="",I27="",J27="",N27="",O27="",P27="",Q27="",R27="",S27="",T27="",U27="",V27="",X27="",AND(OR(J27="SUPPLIER",J27="PLATFORM",J27="WEB"),L27="")),"请补全必填",IF(COUNTIF($B$5:$B$104,B27)&gt;1,"ID重复",IF(OR(AND(C27&lt;&gt;"",COUNTIF('水晶主数据'!$B$5:$B$54,C27)=0),AND(D27&lt;&gt;"",COUNTIF('珠子SKU'!$C$5:$C$104,D27)=0),AND(E27&lt;&gt;"",COUNTIF('库存批次'!$B$5:$B$104,E27)=0)),"关联不存在",IF(OR(ISNA(MATCH(H27,'_枚举'!$J$2:$J$8,0)),ISNA(MATCH(I27,'_枚举'!$C$2:$C$3,0)),ISNA(MATCH(J27,'_枚举'!$K$2:$K$6,0)),ISNA(MATCH(N27,'_枚举'!$L$2:$L$6,0)),ISNA(MATCH(O27,'_枚举'!$C$2:$C$3,0)),ISNA(MATCH(P27,'_枚举'!$C$2:$C$3,0)),ISNA(MATCH(Q27,'_枚举'!$C$2:$C$3,0)),ISNA(MATCH(R27,'_枚举'!$A$2:$A$4,0)),ISNA(MATCH(S27,'_枚举'!$B$2:$B$5,0)),ISNA(MATCH(T27,'_枚举'!$C$2:$C$3,0)),ISNA(MATCH(U27,'_枚举'!$C$2:$C$3,0)),ISNA(MATCH(V27,'_枚举'!$C$2:$C$3,0)),ISNA(MATCH(X27,'_枚举'!$M$2:$M$4,0))),"枚举错误",IF(AND(W27&lt;&gt;"",OR(LEN(W27)&lt;32,LEN(W27)&gt;128)),"格式错误",IF(OR(X27&lt;&gt;"PASSED",N27="UNKNOWN",AND(O27="TRUE",N27&lt;&gt;"OWNED",N27&lt;&gt;"AUTHORIZED",N27&lt;&gt;"PUBLIC_DOMAIN"),AND(P27="TRUE",N27&lt;&gt;"OWNED",N27&lt;&gt;"AUTHORIZED",N27&lt;&gt;"PUBLIC_DOMAIN"),U27="TRUE",V27="TRUE",AND(T27="TRUE",I27&lt;&gt;"TRUE")),"待人工复核","可导入")))))))</f>
        <v/>
      </c>
      <c r="B27" s="125" t="n"/>
      <c r="C27" s="125" t="n"/>
      <c r="D27" s="125" t="n"/>
      <c r="E27" s="125" t="n"/>
      <c r="F27" s="125" t="n"/>
      <c r="G27" s="126" t="n"/>
      <c r="H27" s="126" t="n"/>
      <c r="I27" s="126" t="n"/>
      <c r="J27" s="126" t="n"/>
      <c r="K27" s="125" t="n"/>
      <c r="L27" s="127" t="n"/>
      <c r="M27" s="127" t="n"/>
      <c r="N27" s="125" t="n"/>
      <c r="O27" s="125" t="n"/>
      <c r="P27" s="125" t="n"/>
      <c r="Q27" s="127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</row>
    <row r="28">
      <c r="A28" s="118">
        <f>IF(COUNTA(B28:Z28)=0,"待填写",IF(OR(B28="",AND(C28="",D28="",E28=""),F28="",G28="",H28="",I28="",J28="",N28="",O28="",P28="",Q28="",R28="",S28="",T28="",U28="",V28="",X28="",AND(OR(J28="SUPPLIER",J28="PLATFORM",J28="WEB"),L28="")),"请补全必填",IF(COUNTIF($B$5:$B$104,B28)&gt;1,"ID重复",IF(OR(AND(C28&lt;&gt;"",COUNTIF('水晶主数据'!$B$5:$B$54,C28)=0),AND(D28&lt;&gt;"",COUNTIF('珠子SKU'!$C$5:$C$104,D28)=0),AND(E28&lt;&gt;"",COUNTIF('库存批次'!$B$5:$B$104,E28)=0)),"关联不存在",IF(OR(ISNA(MATCH(H28,'_枚举'!$J$2:$J$8,0)),ISNA(MATCH(I28,'_枚举'!$C$2:$C$3,0)),ISNA(MATCH(J28,'_枚举'!$K$2:$K$6,0)),ISNA(MATCH(N28,'_枚举'!$L$2:$L$6,0)),ISNA(MATCH(O28,'_枚举'!$C$2:$C$3,0)),ISNA(MATCH(P28,'_枚举'!$C$2:$C$3,0)),ISNA(MATCH(Q28,'_枚举'!$C$2:$C$3,0)),ISNA(MATCH(R28,'_枚举'!$A$2:$A$4,0)),ISNA(MATCH(S28,'_枚举'!$B$2:$B$5,0)),ISNA(MATCH(T28,'_枚举'!$C$2:$C$3,0)),ISNA(MATCH(U28,'_枚举'!$C$2:$C$3,0)),ISNA(MATCH(V28,'_枚举'!$C$2:$C$3,0)),ISNA(MATCH(X28,'_枚举'!$M$2:$M$4,0))),"枚举错误",IF(AND(W28&lt;&gt;"",OR(LEN(W28)&lt;32,LEN(W28)&gt;128)),"格式错误",IF(OR(X28&lt;&gt;"PASSED",N28="UNKNOWN",AND(O28="TRUE",N28&lt;&gt;"OWNED",N28&lt;&gt;"AUTHORIZED",N28&lt;&gt;"PUBLIC_DOMAIN"),AND(P28="TRUE",N28&lt;&gt;"OWNED",N28&lt;&gt;"AUTHORIZED",N28&lt;&gt;"PUBLIC_DOMAIN"),U28="TRUE",V28="TRUE",AND(T28="TRUE",I28&lt;&gt;"TRUE")),"待人工复核","可导入")))))))</f>
        <v/>
      </c>
      <c r="B28" s="125" t="n"/>
      <c r="C28" s="125" t="n"/>
      <c r="D28" s="125" t="n"/>
      <c r="E28" s="125" t="n"/>
      <c r="F28" s="125" t="n"/>
      <c r="G28" s="126" t="n"/>
      <c r="H28" s="126" t="n"/>
      <c r="I28" s="126" t="n"/>
      <c r="J28" s="126" t="n"/>
      <c r="K28" s="125" t="n"/>
      <c r="L28" s="127" t="n"/>
      <c r="M28" s="127" t="n"/>
      <c r="N28" s="125" t="n"/>
      <c r="O28" s="125" t="n"/>
      <c r="P28" s="125" t="n"/>
      <c r="Q28" s="127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</row>
    <row r="29">
      <c r="A29" s="118">
        <f>IF(COUNTA(B29:Z29)=0,"待填写",IF(OR(B29="",AND(C29="",D29="",E29=""),F29="",G29="",H29="",I29="",J29="",N29="",O29="",P29="",Q29="",R29="",S29="",T29="",U29="",V29="",X29="",AND(OR(J29="SUPPLIER",J29="PLATFORM",J29="WEB"),L29="")),"请补全必填",IF(COUNTIF($B$5:$B$104,B29)&gt;1,"ID重复",IF(OR(AND(C29&lt;&gt;"",COUNTIF('水晶主数据'!$B$5:$B$54,C29)=0),AND(D29&lt;&gt;"",COUNTIF('珠子SKU'!$C$5:$C$104,D29)=0),AND(E29&lt;&gt;"",COUNTIF('库存批次'!$B$5:$B$104,E29)=0)),"关联不存在",IF(OR(ISNA(MATCH(H29,'_枚举'!$J$2:$J$8,0)),ISNA(MATCH(I29,'_枚举'!$C$2:$C$3,0)),ISNA(MATCH(J29,'_枚举'!$K$2:$K$6,0)),ISNA(MATCH(N29,'_枚举'!$L$2:$L$6,0)),ISNA(MATCH(O29,'_枚举'!$C$2:$C$3,0)),ISNA(MATCH(P29,'_枚举'!$C$2:$C$3,0)),ISNA(MATCH(Q29,'_枚举'!$C$2:$C$3,0)),ISNA(MATCH(R29,'_枚举'!$A$2:$A$4,0)),ISNA(MATCH(S29,'_枚举'!$B$2:$B$5,0)),ISNA(MATCH(T29,'_枚举'!$C$2:$C$3,0)),ISNA(MATCH(U29,'_枚举'!$C$2:$C$3,0)),ISNA(MATCH(V29,'_枚举'!$C$2:$C$3,0)),ISNA(MATCH(X29,'_枚举'!$M$2:$M$4,0))),"枚举错误",IF(AND(W29&lt;&gt;"",OR(LEN(W29)&lt;32,LEN(W29)&gt;128)),"格式错误",IF(OR(X29&lt;&gt;"PASSED",N29="UNKNOWN",AND(O29="TRUE",N29&lt;&gt;"OWNED",N29&lt;&gt;"AUTHORIZED",N29&lt;&gt;"PUBLIC_DOMAIN"),AND(P29="TRUE",N29&lt;&gt;"OWNED",N29&lt;&gt;"AUTHORIZED",N29&lt;&gt;"PUBLIC_DOMAIN"),U29="TRUE",V29="TRUE",AND(T29="TRUE",I29&lt;&gt;"TRUE")),"待人工复核","可导入")))))))</f>
        <v/>
      </c>
      <c r="B29" s="125" t="n"/>
      <c r="C29" s="125" t="n"/>
      <c r="D29" s="125" t="n"/>
      <c r="E29" s="125" t="n"/>
      <c r="F29" s="125" t="n"/>
      <c r="G29" s="126" t="n"/>
      <c r="H29" s="126" t="n"/>
      <c r="I29" s="126" t="n"/>
      <c r="J29" s="126" t="n"/>
      <c r="K29" s="125" t="n"/>
      <c r="L29" s="127" t="n"/>
      <c r="M29" s="127" t="n"/>
      <c r="N29" s="125" t="n"/>
      <c r="O29" s="125" t="n"/>
      <c r="P29" s="125" t="n"/>
      <c r="Q29" s="127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</row>
    <row r="30">
      <c r="A30" s="118">
        <f>IF(COUNTA(B30:Z30)=0,"待填写",IF(OR(B30="",AND(C30="",D30="",E30=""),F30="",G30="",H30="",I30="",J30="",N30="",O30="",P30="",Q30="",R30="",S30="",T30="",U30="",V30="",X30="",AND(OR(J30="SUPPLIER",J30="PLATFORM",J30="WEB"),L30="")),"请补全必填",IF(COUNTIF($B$5:$B$104,B30)&gt;1,"ID重复",IF(OR(AND(C30&lt;&gt;"",COUNTIF('水晶主数据'!$B$5:$B$54,C30)=0),AND(D30&lt;&gt;"",COUNTIF('珠子SKU'!$C$5:$C$104,D30)=0),AND(E30&lt;&gt;"",COUNTIF('库存批次'!$B$5:$B$104,E30)=0)),"关联不存在",IF(OR(ISNA(MATCH(H30,'_枚举'!$J$2:$J$8,0)),ISNA(MATCH(I30,'_枚举'!$C$2:$C$3,0)),ISNA(MATCH(J30,'_枚举'!$K$2:$K$6,0)),ISNA(MATCH(N30,'_枚举'!$L$2:$L$6,0)),ISNA(MATCH(O30,'_枚举'!$C$2:$C$3,0)),ISNA(MATCH(P30,'_枚举'!$C$2:$C$3,0)),ISNA(MATCH(Q30,'_枚举'!$C$2:$C$3,0)),ISNA(MATCH(R30,'_枚举'!$A$2:$A$4,0)),ISNA(MATCH(S30,'_枚举'!$B$2:$B$5,0)),ISNA(MATCH(T30,'_枚举'!$C$2:$C$3,0)),ISNA(MATCH(U30,'_枚举'!$C$2:$C$3,0)),ISNA(MATCH(V30,'_枚举'!$C$2:$C$3,0)),ISNA(MATCH(X30,'_枚举'!$M$2:$M$4,0))),"枚举错误",IF(AND(W30&lt;&gt;"",OR(LEN(W30)&lt;32,LEN(W30)&gt;128)),"格式错误",IF(OR(X30&lt;&gt;"PASSED",N30="UNKNOWN",AND(O30="TRUE",N30&lt;&gt;"OWNED",N30&lt;&gt;"AUTHORIZED",N30&lt;&gt;"PUBLIC_DOMAIN"),AND(P30="TRUE",N30&lt;&gt;"OWNED",N30&lt;&gt;"AUTHORIZED",N30&lt;&gt;"PUBLIC_DOMAIN"),U30="TRUE",V30="TRUE",AND(T30="TRUE",I30&lt;&gt;"TRUE")),"待人工复核","可导入")))))))</f>
        <v/>
      </c>
      <c r="B30" s="125" t="n"/>
      <c r="C30" s="125" t="n"/>
      <c r="D30" s="125" t="n"/>
      <c r="E30" s="125" t="n"/>
      <c r="F30" s="125" t="n"/>
      <c r="G30" s="126" t="n"/>
      <c r="H30" s="126" t="n"/>
      <c r="I30" s="126" t="n"/>
      <c r="J30" s="126" t="n"/>
      <c r="K30" s="125" t="n"/>
      <c r="L30" s="127" t="n"/>
      <c r="M30" s="127" t="n"/>
      <c r="N30" s="125" t="n"/>
      <c r="O30" s="125" t="n"/>
      <c r="P30" s="125" t="n"/>
      <c r="Q30" s="127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</row>
    <row r="31">
      <c r="A31" s="118">
        <f>IF(COUNTA(B31:Z31)=0,"待填写",IF(OR(B31="",AND(C31="",D31="",E31=""),F31="",G31="",H31="",I31="",J31="",N31="",O31="",P31="",Q31="",R31="",S31="",T31="",U31="",V31="",X31="",AND(OR(J31="SUPPLIER",J31="PLATFORM",J31="WEB"),L31="")),"请补全必填",IF(COUNTIF($B$5:$B$104,B31)&gt;1,"ID重复",IF(OR(AND(C31&lt;&gt;"",COUNTIF('水晶主数据'!$B$5:$B$54,C31)=0),AND(D31&lt;&gt;"",COUNTIF('珠子SKU'!$C$5:$C$104,D31)=0),AND(E31&lt;&gt;"",COUNTIF('库存批次'!$B$5:$B$104,E31)=0)),"关联不存在",IF(OR(ISNA(MATCH(H31,'_枚举'!$J$2:$J$8,0)),ISNA(MATCH(I31,'_枚举'!$C$2:$C$3,0)),ISNA(MATCH(J31,'_枚举'!$K$2:$K$6,0)),ISNA(MATCH(N31,'_枚举'!$L$2:$L$6,0)),ISNA(MATCH(O31,'_枚举'!$C$2:$C$3,0)),ISNA(MATCH(P31,'_枚举'!$C$2:$C$3,0)),ISNA(MATCH(Q31,'_枚举'!$C$2:$C$3,0)),ISNA(MATCH(R31,'_枚举'!$A$2:$A$4,0)),ISNA(MATCH(S31,'_枚举'!$B$2:$B$5,0)),ISNA(MATCH(T31,'_枚举'!$C$2:$C$3,0)),ISNA(MATCH(U31,'_枚举'!$C$2:$C$3,0)),ISNA(MATCH(V31,'_枚举'!$C$2:$C$3,0)),ISNA(MATCH(X31,'_枚举'!$M$2:$M$4,0))),"枚举错误",IF(AND(W31&lt;&gt;"",OR(LEN(W31)&lt;32,LEN(W31)&gt;128)),"格式错误",IF(OR(X31&lt;&gt;"PASSED",N31="UNKNOWN",AND(O31="TRUE",N31&lt;&gt;"OWNED",N31&lt;&gt;"AUTHORIZED",N31&lt;&gt;"PUBLIC_DOMAIN"),AND(P31="TRUE",N31&lt;&gt;"OWNED",N31&lt;&gt;"AUTHORIZED",N31&lt;&gt;"PUBLIC_DOMAIN"),U31="TRUE",V31="TRUE",AND(T31="TRUE",I31&lt;&gt;"TRUE")),"待人工复核","可导入")))))))</f>
        <v/>
      </c>
      <c r="B31" s="125" t="n"/>
      <c r="C31" s="125" t="n"/>
      <c r="D31" s="125" t="n"/>
      <c r="E31" s="125" t="n"/>
      <c r="F31" s="125" t="n"/>
      <c r="G31" s="126" t="n"/>
      <c r="H31" s="126" t="n"/>
      <c r="I31" s="126" t="n"/>
      <c r="J31" s="126" t="n"/>
      <c r="K31" s="125" t="n"/>
      <c r="L31" s="127" t="n"/>
      <c r="M31" s="127" t="n"/>
      <c r="N31" s="125" t="n"/>
      <c r="O31" s="125" t="n"/>
      <c r="P31" s="125" t="n"/>
      <c r="Q31" s="127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</row>
    <row r="32">
      <c r="A32" s="118">
        <f>IF(COUNTA(B32:Z32)=0,"待填写",IF(OR(B32="",AND(C32="",D32="",E32=""),F32="",G32="",H32="",I32="",J32="",N32="",O32="",P32="",Q32="",R32="",S32="",T32="",U32="",V32="",X32="",AND(OR(J32="SUPPLIER",J32="PLATFORM",J32="WEB"),L32="")),"请补全必填",IF(COUNTIF($B$5:$B$104,B32)&gt;1,"ID重复",IF(OR(AND(C32&lt;&gt;"",COUNTIF('水晶主数据'!$B$5:$B$54,C32)=0),AND(D32&lt;&gt;"",COUNTIF('珠子SKU'!$C$5:$C$104,D32)=0),AND(E32&lt;&gt;"",COUNTIF('库存批次'!$B$5:$B$104,E32)=0)),"关联不存在",IF(OR(ISNA(MATCH(H32,'_枚举'!$J$2:$J$8,0)),ISNA(MATCH(I32,'_枚举'!$C$2:$C$3,0)),ISNA(MATCH(J32,'_枚举'!$K$2:$K$6,0)),ISNA(MATCH(N32,'_枚举'!$L$2:$L$6,0)),ISNA(MATCH(O32,'_枚举'!$C$2:$C$3,0)),ISNA(MATCH(P32,'_枚举'!$C$2:$C$3,0)),ISNA(MATCH(Q32,'_枚举'!$C$2:$C$3,0)),ISNA(MATCH(R32,'_枚举'!$A$2:$A$4,0)),ISNA(MATCH(S32,'_枚举'!$B$2:$B$5,0)),ISNA(MATCH(T32,'_枚举'!$C$2:$C$3,0)),ISNA(MATCH(U32,'_枚举'!$C$2:$C$3,0)),ISNA(MATCH(V32,'_枚举'!$C$2:$C$3,0)),ISNA(MATCH(X32,'_枚举'!$M$2:$M$4,0))),"枚举错误",IF(AND(W32&lt;&gt;"",OR(LEN(W32)&lt;32,LEN(W32)&gt;128)),"格式错误",IF(OR(X32&lt;&gt;"PASSED",N32="UNKNOWN",AND(O32="TRUE",N32&lt;&gt;"OWNED",N32&lt;&gt;"AUTHORIZED",N32&lt;&gt;"PUBLIC_DOMAIN"),AND(P32="TRUE",N32&lt;&gt;"OWNED",N32&lt;&gt;"AUTHORIZED",N32&lt;&gt;"PUBLIC_DOMAIN"),U32="TRUE",V32="TRUE",AND(T32="TRUE",I32&lt;&gt;"TRUE")),"待人工复核","可导入")))))))</f>
        <v/>
      </c>
      <c r="B32" s="125" t="n"/>
      <c r="C32" s="125" t="n"/>
      <c r="D32" s="125" t="n"/>
      <c r="E32" s="125" t="n"/>
      <c r="F32" s="125" t="n"/>
      <c r="G32" s="126" t="n"/>
      <c r="H32" s="126" t="n"/>
      <c r="I32" s="126" t="n"/>
      <c r="J32" s="126" t="n"/>
      <c r="K32" s="125" t="n"/>
      <c r="L32" s="127" t="n"/>
      <c r="M32" s="127" t="n"/>
      <c r="N32" s="125" t="n"/>
      <c r="O32" s="125" t="n"/>
      <c r="P32" s="125" t="n"/>
      <c r="Q32" s="127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</row>
    <row r="33">
      <c r="A33" s="118">
        <f>IF(COUNTA(B33:Z33)=0,"待填写",IF(OR(B33="",AND(C33="",D33="",E33=""),F33="",G33="",H33="",I33="",J33="",N33="",O33="",P33="",Q33="",R33="",S33="",T33="",U33="",V33="",X33="",AND(OR(J33="SUPPLIER",J33="PLATFORM",J33="WEB"),L33="")),"请补全必填",IF(COUNTIF($B$5:$B$104,B33)&gt;1,"ID重复",IF(OR(AND(C33&lt;&gt;"",COUNTIF('水晶主数据'!$B$5:$B$54,C33)=0),AND(D33&lt;&gt;"",COUNTIF('珠子SKU'!$C$5:$C$104,D33)=0),AND(E33&lt;&gt;"",COUNTIF('库存批次'!$B$5:$B$104,E33)=0)),"关联不存在",IF(OR(ISNA(MATCH(H33,'_枚举'!$J$2:$J$8,0)),ISNA(MATCH(I33,'_枚举'!$C$2:$C$3,0)),ISNA(MATCH(J33,'_枚举'!$K$2:$K$6,0)),ISNA(MATCH(N33,'_枚举'!$L$2:$L$6,0)),ISNA(MATCH(O33,'_枚举'!$C$2:$C$3,0)),ISNA(MATCH(P33,'_枚举'!$C$2:$C$3,0)),ISNA(MATCH(Q33,'_枚举'!$C$2:$C$3,0)),ISNA(MATCH(R33,'_枚举'!$A$2:$A$4,0)),ISNA(MATCH(S33,'_枚举'!$B$2:$B$5,0)),ISNA(MATCH(T33,'_枚举'!$C$2:$C$3,0)),ISNA(MATCH(U33,'_枚举'!$C$2:$C$3,0)),ISNA(MATCH(V33,'_枚举'!$C$2:$C$3,0)),ISNA(MATCH(X33,'_枚举'!$M$2:$M$4,0))),"枚举错误",IF(AND(W33&lt;&gt;"",OR(LEN(W33)&lt;32,LEN(W33)&gt;128)),"格式错误",IF(OR(X33&lt;&gt;"PASSED",N33="UNKNOWN",AND(O33="TRUE",N33&lt;&gt;"OWNED",N33&lt;&gt;"AUTHORIZED",N33&lt;&gt;"PUBLIC_DOMAIN"),AND(P33="TRUE",N33&lt;&gt;"OWNED",N33&lt;&gt;"AUTHORIZED",N33&lt;&gt;"PUBLIC_DOMAIN"),U33="TRUE",V33="TRUE",AND(T33="TRUE",I33&lt;&gt;"TRUE")),"待人工复核","可导入")))))))</f>
        <v/>
      </c>
      <c r="B33" s="125" t="n"/>
      <c r="C33" s="125" t="n"/>
      <c r="D33" s="125" t="n"/>
      <c r="E33" s="125" t="n"/>
      <c r="F33" s="125" t="n"/>
      <c r="G33" s="126" t="n"/>
      <c r="H33" s="126" t="n"/>
      <c r="I33" s="126" t="n"/>
      <c r="J33" s="126" t="n"/>
      <c r="K33" s="125" t="n"/>
      <c r="L33" s="127" t="n"/>
      <c r="M33" s="127" t="n"/>
      <c r="N33" s="125" t="n"/>
      <c r="O33" s="125" t="n"/>
      <c r="P33" s="125" t="n"/>
      <c r="Q33" s="127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</row>
    <row r="34">
      <c r="A34" s="118">
        <f>IF(COUNTA(B34:Z34)=0,"待填写",IF(OR(B34="",AND(C34="",D34="",E34=""),F34="",G34="",H34="",I34="",J34="",N34="",O34="",P34="",Q34="",R34="",S34="",T34="",U34="",V34="",X34="",AND(OR(J34="SUPPLIER",J34="PLATFORM",J34="WEB"),L34="")),"请补全必填",IF(COUNTIF($B$5:$B$104,B34)&gt;1,"ID重复",IF(OR(AND(C34&lt;&gt;"",COUNTIF('水晶主数据'!$B$5:$B$54,C34)=0),AND(D34&lt;&gt;"",COUNTIF('珠子SKU'!$C$5:$C$104,D34)=0),AND(E34&lt;&gt;"",COUNTIF('库存批次'!$B$5:$B$104,E34)=0)),"关联不存在",IF(OR(ISNA(MATCH(H34,'_枚举'!$J$2:$J$8,0)),ISNA(MATCH(I34,'_枚举'!$C$2:$C$3,0)),ISNA(MATCH(J34,'_枚举'!$K$2:$K$6,0)),ISNA(MATCH(N34,'_枚举'!$L$2:$L$6,0)),ISNA(MATCH(O34,'_枚举'!$C$2:$C$3,0)),ISNA(MATCH(P34,'_枚举'!$C$2:$C$3,0)),ISNA(MATCH(Q34,'_枚举'!$C$2:$C$3,0)),ISNA(MATCH(R34,'_枚举'!$A$2:$A$4,0)),ISNA(MATCH(S34,'_枚举'!$B$2:$B$5,0)),ISNA(MATCH(T34,'_枚举'!$C$2:$C$3,0)),ISNA(MATCH(U34,'_枚举'!$C$2:$C$3,0)),ISNA(MATCH(V34,'_枚举'!$C$2:$C$3,0)),ISNA(MATCH(X34,'_枚举'!$M$2:$M$4,0))),"枚举错误",IF(AND(W34&lt;&gt;"",OR(LEN(W34)&lt;32,LEN(W34)&gt;128)),"格式错误",IF(OR(X34&lt;&gt;"PASSED",N34="UNKNOWN",AND(O34="TRUE",N34&lt;&gt;"OWNED",N34&lt;&gt;"AUTHORIZED",N34&lt;&gt;"PUBLIC_DOMAIN"),AND(P34="TRUE",N34&lt;&gt;"OWNED",N34&lt;&gt;"AUTHORIZED",N34&lt;&gt;"PUBLIC_DOMAIN"),U34="TRUE",V34="TRUE",AND(T34="TRUE",I34&lt;&gt;"TRUE")),"待人工复核","可导入")))))))</f>
        <v/>
      </c>
      <c r="B34" s="125" t="n"/>
      <c r="C34" s="125" t="n"/>
      <c r="D34" s="125" t="n"/>
      <c r="E34" s="125" t="n"/>
      <c r="F34" s="125" t="n"/>
      <c r="G34" s="126" t="n"/>
      <c r="H34" s="126" t="n"/>
      <c r="I34" s="126" t="n"/>
      <c r="J34" s="126" t="n"/>
      <c r="K34" s="125" t="n"/>
      <c r="L34" s="127" t="n"/>
      <c r="M34" s="127" t="n"/>
      <c r="N34" s="125" t="n"/>
      <c r="O34" s="125" t="n"/>
      <c r="P34" s="125" t="n"/>
      <c r="Q34" s="127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</row>
    <row r="35">
      <c r="A35" s="118">
        <f>IF(COUNTA(B35:Z35)=0,"待填写",IF(OR(B35="",AND(C35="",D35="",E35=""),F35="",G35="",H35="",I35="",J35="",N35="",O35="",P35="",Q35="",R35="",S35="",T35="",U35="",V35="",X35="",AND(OR(J35="SUPPLIER",J35="PLATFORM",J35="WEB"),L35="")),"请补全必填",IF(COUNTIF($B$5:$B$104,B35)&gt;1,"ID重复",IF(OR(AND(C35&lt;&gt;"",COUNTIF('水晶主数据'!$B$5:$B$54,C35)=0),AND(D35&lt;&gt;"",COUNTIF('珠子SKU'!$C$5:$C$104,D35)=0),AND(E35&lt;&gt;"",COUNTIF('库存批次'!$B$5:$B$104,E35)=0)),"关联不存在",IF(OR(ISNA(MATCH(H35,'_枚举'!$J$2:$J$8,0)),ISNA(MATCH(I35,'_枚举'!$C$2:$C$3,0)),ISNA(MATCH(J35,'_枚举'!$K$2:$K$6,0)),ISNA(MATCH(N35,'_枚举'!$L$2:$L$6,0)),ISNA(MATCH(O35,'_枚举'!$C$2:$C$3,0)),ISNA(MATCH(P35,'_枚举'!$C$2:$C$3,0)),ISNA(MATCH(Q35,'_枚举'!$C$2:$C$3,0)),ISNA(MATCH(R35,'_枚举'!$A$2:$A$4,0)),ISNA(MATCH(S35,'_枚举'!$B$2:$B$5,0)),ISNA(MATCH(T35,'_枚举'!$C$2:$C$3,0)),ISNA(MATCH(U35,'_枚举'!$C$2:$C$3,0)),ISNA(MATCH(V35,'_枚举'!$C$2:$C$3,0)),ISNA(MATCH(X35,'_枚举'!$M$2:$M$4,0))),"枚举错误",IF(AND(W35&lt;&gt;"",OR(LEN(W35)&lt;32,LEN(W35)&gt;128)),"格式错误",IF(OR(X35&lt;&gt;"PASSED",N35="UNKNOWN",AND(O35="TRUE",N35&lt;&gt;"OWNED",N35&lt;&gt;"AUTHORIZED",N35&lt;&gt;"PUBLIC_DOMAIN"),AND(P35="TRUE",N35&lt;&gt;"OWNED",N35&lt;&gt;"AUTHORIZED",N35&lt;&gt;"PUBLIC_DOMAIN"),U35="TRUE",V35="TRUE",AND(T35="TRUE",I35&lt;&gt;"TRUE")),"待人工复核","可导入")))))))</f>
        <v/>
      </c>
      <c r="B35" s="125" t="n"/>
      <c r="C35" s="125" t="n"/>
      <c r="D35" s="125" t="n"/>
      <c r="E35" s="125" t="n"/>
      <c r="F35" s="125" t="n"/>
      <c r="G35" s="126" t="n"/>
      <c r="H35" s="126" t="n"/>
      <c r="I35" s="126" t="n"/>
      <c r="J35" s="126" t="n"/>
      <c r="K35" s="125" t="n"/>
      <c r="L35" s="127" t="n"/>
      <c r="M35" s="127" t="n"/>
      <c r="N35" s="125" t="n"/>
      <c r="O35" s="125" t="n"/>
      <c r="P35" s="125" t="n"/>
      <c r="Q35" s="127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</row>
    <row r="36">
      <c r="A36" s="118">
        <f>IF(COUNTA(B36:Z36)=0,"待填写",IF(OR(B36="",AND(C36="",D36="",E36=""),F36="",G36="",H36="",I36="",J36="",N36="",O36="",P36="",Q36="",R36="",S36="",T36="",U36="",V36="",X36="",AND(OR(J36="SUPPLIER",J36="PLATFORM",J36="WEB"),L36="")),"请补全必填",IF(COUNTIF($B$5:$B$104,B36)&gt;1,"ID重复",IF(OR(AND(C36&lt;&gt;"",COUNTIF('水晶主数据'!$B$5:$B$54,C36)=0),AND(D36&lt;&gt;"",COUNTIF('珠子SKU'!$C$5:$C$104,D36)=0),AND(E36&lt;&gt;"",COUNTIF('库存批次'!$B$5:$B$104,E36)=0)),"关联不存在",IF(OR(ISNA(MATCH(H36,'_枚举'!$J$2:$J$8,0)),ISNA(MATCH(I36,'_枚举'!$C$2:$C$3,0)),ISNA(MATCH(J36,'_枚举'!$K$2:$K$6,0)),ISNA(MATCH(N36,'_枚举'!$L$2:$L$6,0)),ISNA(MATCH(O36,'_枚举'!$C$2:$C$3,0)),ISNA(MATCH(P36,'_枚举'!$C$2:$C$3,0)),ISNA(MATCH(Q36,'_枚举'!$C$2:$C$3,0)),ISNA(MATCH(R36,'_枚举'!$A$2:$A$4,0)),ISNA(MATCH(S36,'_枚举'!$B$2:$B$5,0)),ISNA(MATCH(T36,'_枚举'!$C$2:$C$3,0)),ISNA(MATCH(U36,'_枚举'!$C$2:$C$3,0)),ISNA(MATCH(V36,'_枚举'!$C$2:$C$3,0)),ISNA(MATCH(X36,'_枚举'!$M$2:$M$4,0))),"枚举错误",IF(AND(W36&lt;&gt;"",OR(LEN(W36)&lt;32,LEN(W36)&gt;128)),"格式错误",IF(OR(X36&lt;&gt;"PASSED",N36="UNKNOWN",AND(O36="TRUE",N36&lt;&gt;"OWNED",N36&lt;&gt;"AUTHORIZED",N36&lt;&gt;"PUBLIC_DOMAIN"),AND(P36="TRUE",N36&lt;&gt;"OWNED",N36&lt;&gt;"AUTHORIZED",N36&lt;&gt;"PUBLIC_DOMAIN"),U36="TRUE",V36="TRUE",AND(T36="TRUE",I36&lt;&gt;"TRUE")),"待人工复核","可导入")))))))</f>
        <v/>
      </c>
      <c r="B36" s="125" t="n"/>
      <c r="C36" s="125" t="n"/>
      <c r="D36" s="125" t="n"/>
      <c r="E36" s="125" t="n"/>
      <c r="F36" s="125" t="n"/>
      <c r="G36" s="126" t="n"/>
      <c r="H36" s="126" t="n"/>
      <c r="I36" s="126" t="n"/>
      <c r="J36" s="126" t="n"/>
      <c r="K36" s="125" t="n"/>
      <c r="L36" s="127" t="n"/>
      <c r="M36" s="127" t="n"/>
      <c r="N36" s="125" t="n"/>
      <c r="O36" s="125" t="n"/>
      <c r="P36" s="125" t="n"/>
      <c r="Q36" s="127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</row>
    <row r="37">
      <c r="A37" s="118">
        <f>IF(COUNTA(B37:Z37)=0,"待填写",IF(OR(B37="",AND(C37="",D37="",E37=""),F37="",G37="",H37="",I37="",J37="",N37="",O37="",P37="",Q37="",R37="",S37="",T37="",U37="",V37="",X37="",AND(OR(J37="SUPPLIER",J37="PLATFORM",J37="WEB"),L37="")),"请补全必填",IF(COUNTIF($B$5:$B$104,B37)&gt;1,"ID重复",IF(OR(AND(C37&lt;&gt;"",COUNTIF('水晶主数据'!$B$5:$B$54,C37)=0),AND(D37&lt;&gt;"",COUNTIF('珠子SKU'!$C$5:$C$104,D37)=0),AND(E37&lt;&gt;"",COUNTIF('库存批次'!$B$5:$B$104,E37)=0)),"关联不存在",IF(OR(ISNA(MATCH(H37,'_枚举'!$J$2:$J$8,0)),ISNA(MATCH(I37,'_枚举'!$C$2:$C$3,0)),ISNA(MATCH(J37,'_枚举'!$K$2:$K$6,0)),ISNA(MATCH(N37,'_枚举'!$L$2:$L$6,0)),ISNA(MATCH(O37,'_枚举'!$C$2:$C$3,0)),ISNA(MATCH(P37,'_枚举'!$C$2:$C$3,0)),ISNA(MATCH(Q37,'_枚举'!$C$2:$C$3,0)),ISNA(MATCH(R37,'_枚举'!$A$2:$A$4,0)),ISNA(MATCH(S37,'_枚举'!$B$2:$B$5,0)),ISNA(MATCH(T37,'_枚举'!$C$2:$C$3,0)),ISNA(MATCH(U37,'_枚举'!$C$2:$C$3,0)),ISNA(MATCH(V37,'_枚举'!$C$2:$C$3,0)),ISNA(MATCH(X37,'_枚举'!$M$2:$M$4,0))),"枚举错误",IF(AND(W37&lt;&gt;"",OR(LEN(W37)&lt;32,LEN(W37)&gt;128)),"格式错误",IF(OR(X37&lt;&gt;"PASSED",N37="UNKNOWN",AND(O37="TRUE",N37&lt;&gt;"OWNED",N37&lt;&gt;"AUTHORIZED",N37&lt;&gt;"PUBLIC_DOMAIN"),AND(P37="TRUE",N37&lt;&gt;"OWNED",N37&lt;&gt;"AUTHORIZED",N37&lt;&gt;"PUBLIC_DOMAIN"),U37="TRUE",V37="TRUE",AND(T37="TRUE",I37&lt;&gt;"TRUE")),"待人工复核","可导入")))))))</f>
        <v/>
      </c>
      <c r="B37" s="125" t="n"/>
      <c r="C37" s="125" t="n"/>
      <c r="D37" s="125" t="n"/>
      <c r="E37" s="125" t="n"/>
      <c r="F37" s="125" t="n"/>
      <c r="G37" s="126" t="n"/>
      <c r="H37" s="126" t="n"/>
      <c r="I37" s="126" t="n"/>
      <c r="J37" s="126" t="n"/>
      <c r="K37" s="125" t="n"/>
      <c r="L37" s="127" t="n"/>
      <c r="M37" s="127" t="n"/>
      <c r="N37" s="125" t="n"/>
      <c r="O37" s="125" t="n"/>
      <c r="P37" s="125" t="n"/>
      <c r="Q37" s="127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</row>
    <row r="38">
      <c r="A38" s="118">
        <f>IF(COUNTA(B38:Z38)=0,"待填写",IF(OR(B38="",AND(C38="",D38="",E38=""),F38="",G38="",H38="",I38="",J38="",N38="",O38="",P38="",Q38="",R38="",S38="",T38="",U38="",V38="",X38="",AND(OR(J38="SUPPLIER",J38="PLATFORM",J38="WEB"),L38="")),"请补全必填",IF(COUNTIF($B$5:$B$104,B38)&gt;1,"ID重复",IF(OR(AND(C38&lt;&gt;"",COUNTIF('水晶主数据'!$B$5:$B$54,C38)=0),AND(D38&lt;&gt;"",COUNTIF('珠子SKU'!$C$5:$C$104,D38)=0),AND(E38&lt;&gt;"",COUNTIF('库存批次'!$B$5:$B$104,E38)=0)),"关联不存在",IF(OR(ISNA(MATCH(H38,'_枚举'!$J$2:$J$8,0)),ISNA(MATCH(I38,'_枚举'!$C$2:$C$3,0)),ISNA(MATCH(J38,'_枚举'!$K$2:$K$6,0)),ISNA(MATCH(N38,'_枚举'!$L$2:$L$6,0)),ISNA(MATCH(O38,'_枚举'!$C$2:$C$3,0)),ISNA(MATCH(P38,'_枚举'!$C$2:$C$3,0)),ISNA(MATCH(Q38,'_枚举'!$C$2:$C$3,0)),ISNA(MATCH(R38,'_枚举'!$A$2:$A$4,0)),ISNA(MATCH(S38,'_枚举'!$B$2:$B$5,0)),ISNA(MATCH(T38,'_枚举'!$C$2:$C$3,0)),ISNA(MATCH(U38,'_枚举'!$C$2:$C$3,0)),ISNA(MATCH(V38,'_枚举'!$C$2:$C$3,0)),ISNA(MATCH(X38,'_枚举'!$M$2:$M$4,0))),"枚举错误",IF(AND(W38&lt;&gt;"",OR(LEN(W38)&lt;32,LEN(W38)&gt;128)),"格式错误",IF(OR(X38&lt;&gt;"PASSED",N38="UNKNOWN",AND(O38="TRUE",N38&lt;&gt;"OWNED",N38&lt;&gt;"AUTHORIZED",N38&lt;&gt;"PUBLIC_DOMAIN"),AND(P38="TRUE",N38&lt;&gt;"OWNED",N38&lt;&gt;"AUTHORIZED",N38&lt;&gt;"PUBLIC_DOMAIN"),U38="TRUE",V38="TRUE",AND(T38="TRUE",I38&lt;&gt;"TRUE")),"待人工复核","可导入")))))))</f>
        <v/>
      </c>
      <c r="B38" s="125" t="n"/>
      <c r="C38" s="125" t="n"/>
      <c r="D38" s="125" t="n"/>
      <c r="E38" s="125" t="n"/>
      <c r="F38" s="125" t="n"/>
      <c r="G38" s="126" t="n"/>
      <c r="H38" s="126" t="n"/>
      <c r="I38" s="126" t="n"/>
      <c r="J38" s="126" t="n"/>
      <c r="K38" s="125" t="n"/>
      <c r="L38" s="127" t="n"/>
      <c r="M38" s="127" t="n"/>
      <c r="N38" s="125" t="n"/>
      <c r="O38" s="125" t="n"/>
      <c r="P38" s="125" t="n"/>
      <c r="Q38" s="127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</row>
    <row r="39">
      <c r="A39" s="118">
        <f>IF(COUNTA(B39:Z39)=0,"待填写",IF(OR(B39="",AND(C39="",D39="",E39=""),F39="",G39="",H39="",I39="",J39="",N39="",O39="",P39="",Q39="",R39="",S39="",T39="",U39="",V39="",X39="",AND(OR(J39="SUPPLIER",J39="PLATFORM",J39="WEB"),L39="")),"请补全必填",IF(COUNTIF($B$5:$B$104,B39)&gt;1,"ID重复",IF(OR(AND(C39&lt;&gt;"",COUNTIF('水晶主数据'!$B$5:$B$54,C39)=0),AND(D39&lt;&gt;"",COUNTIF('珠子SKU'!$C$5:$C$104,D39)=0),AND(E39&lt;&gt;"",COUNTIF('库存批次'!$B$5:$B$104,E39)=0)),"关联不存在",IF(OR(ISNA(MATCH(H39,'_枚举'!$J$2:$J$8,0)),ISNA(MATCH(I39,'_枚举'!$C$2:$C$3,0)),ISNA(MATCH(J39,'_枚举'!$K$2:$K$6,0)),ISNA(MATCH(N39,'_枚举'!$L$2:$L$6,0)),ISNA(MATCH(O39,'_枚举'!$C$2:$C$3,0)),ISNA(MATCH(P39,'_枚举'!$C$2:$C$3,0)),ISNA(MATCH(Q39,'_枚举'!$C$2:$C$3,0)),ISNA(MATCH(R39,'_枚举'!$A$2:$A$4,0)),ISNA(MATCH(S39,'_枚举'!$B$2:$B$5,0)),ISNA(MATCH(T39,'_枚举'!$C$2:$C$3,0)),ISNA(MATCH(U39,'_枚举'!$C$2:$C$3,0)),ISNA(MATCH(V39,'_枚举'!$C$2:$C$3,0)),ISNA(MATCH(X39,'_枚举'!$M$2:$M$4,0))),"枚举错误",IF(AND(W39&lt;&gt;"",OR(LEN(W39)&lt;32,LEN(W39)&gt;128)),"格式错误",IF(OR(X39&lt;&gt;"PASSED",N39="UNKNOWN",AND(O39="TRUE",N39&lt;&gt;"OWNED",N39&lt;&gt;"AUTHORIZED",N39&lt;&gt;"PUBLIC_DOMAIN"),AND(P39="TRUE",N39&lt;&gt;"OWNED",N39&lt;&gt;"AUTHORIZED",N39&lt;&gt;"PUBLIC_DOMAIN"),U39="TRUE",V39="TRUE",AND(T39="TRUE",I39&lt;&gt;"TRUE")),"待人工复核","可导入")))))))</f>
        <v/>
      </c>
      <c r="B39" s="125" t="n"/>
      <c r="C39" s="125" t="n"/>
      <c r="D39" s="125" t="n"/>
      <c r="E39" s="125" t="n"/>
      <c r="F39" s="125" t="n"/>
      <c r="G39" s="126" t="n"/>
      <c r="H39" s="126" t="n"/>
      <c r="I39" s="126" t="n"/>
      <c r="J39" s="126" t="n"/>
      <c r="K39" s="125" t="n"/>
      <c r="L39" s="127" t="n"/>
      <c r="M39" s="127" t="n"/>
      <c r="N39" s="125" t="n"/>
      <c r="O39" s="125" t="n"/>
      <c r="P39" s="125" t="n"/>
      <c r="Q39" s="127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</row>
    <row r="40">
      <c r="A40" s="118">
        <f>IF(COUNTA(B40:Z40)=0,"待填写",IF(OR(B40="",AND(C40="",D40="",E40=""),F40="",G40="",H40="",I40="",J40="",N40="",O40="",P40="",Q40="",R40="",S40="",T40="",U40="",V40="",X40="",AND(OR(J40="SUPPLIER",J40="PLATFORM",J40="WEB"),L40="")),"请补全必填",IF(COUNTIF($B$5:$B$104,B40)&gt;1,"ID重复",IF(OR(AND(C40&lt;&gt;"",COUNTIF('水晶主数据'!$B$5:$B$54,C40)=0),AND(D40&lt;&gt;"",COUNTIF('珠子SKU'!$C$5:$C$104,D40)=0),AND(E40&lt;&gt;"",COUNTIF('库存批次'!$B$5:$B$104,E40)=0)),"关联不存在",IF(OR(ISNA(MATCH(H40,'_枚举'!$J$2:$J$8,0)),ISNA(MATCH(I40,'_枚举'!$C$2:$C$3,0)),ISNA(MATCH(J40,'_枚举'!$K$2:$K$6,0)),ISNA(MATCH(N40,'_枚举'!$L$2:$L$6,0)),ISNA(MATCH(O40,'_枚举'!$C$2:$C$3,0)),ISNA(MATCH(P40,'_枚举'!$C$2:$C$3,0)),ISNA(MATCH(Q40,'_枚举'!$C$2:$C$3,0)),ISNA(MATCH(R40,'_枚举'!$A$2:$A$4,0)),ISNA(MATCH(S40,'_枚举'!$B$2:$B$5,0)),ISNA(MATCH(T40,'_枚举'!$C$2:$C$3,0)),ISNA(MATCH(U40,'_枚举'!$C$2:$C$3,0)),ISNA(MATCH(V40,'_枚举'!$C$2:$C$3,0)),ISNA(MATCH(X40,'_枚举'!$M$2:$M$4,0))),"枚举错误",IF(AND(W40&lt;&gt;"",OR(LEN(W40)&lt;32,LEN(W40)&gt;128)),"格式错误",IF(OR(X40&lt;&gt;"PASSED",N40="UNKNOWN",AND(O40="TRUE",N40&lt;&gt;"OWNED",N40&lt;&gt;"AUTHORIZED",N40&lt;&gt;"PUBLIC_DOMAIN"),AND(P40="TRUE",N40&lt;&gt;"OWNED",N40&lt;&gt;"AUTHORIZED",N40&lt;&gt;"PUBLIC_DOMAIN"),U40="TRUE",V40="TRUE",AND(T40="TRUE",I40&lt;&gt;"TRUE")),"待人工复核","可导入")))))))</f>
        <v/>
      </c>
      <c r="B40" s="125" t="n"/>
      <c r="C40" s="125" t="n"/>
      <c r="D40" s="125" t="n"/>
      <c r="E40" s="125" t="n"/>
      <c r="F40" s="125" t="n"/>
      <c r="G40" s="126" t="n"/>
      <c r="H40" s="126" t="n"/>
      <c r="I40" s="126" t="n"/>
      <c r="J40" s="126" t="n"/>
      <c r="K40" s="125" t="n"/>
      <c r="L40" s="127" t="n"/>
      <c r="M40" s="127" t="n"/>
      <c r="N40" s="125" t="n"/>
      <c r="O40" s="125" t="n"/>
      <c r="P40" s="125" t="n"/>
      <c r="Q40" s="127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</row>
    <row r="41">
      <c r="A41" s="118">
        <f>IF(COUNTA(B41:Z41)=0,"待填写",IF(OR(B41="",AND(C41="",D41="",E41=""),F41="",G41="",H41="",I41="",J41="",N41="",O41="",P41="",Q41="",R41="",S41="",T41="",U41="",V41="",X41="",AND(OR(J41="SUPPLIER",J41="PLATFORM",J41="WEB"),L41="")),"请补全必填",IF(COUNTIF($B$5:$B$104,B41)&gt;1,"ID重复",IF(OR(AND(C41&lt;&gt;"",COUNTIF('水晶主数据'!$B$5:$B$54,C41)=0),AND(D41&lt;&gt;"",COUNTIF('珠子SKU'!$C$5:$C$104,D41)=0),AND(E41&lt;&gt;"",COUNTIF('库存批次'!$B$5:$B$104,E41)=0)),"关联不存在",IF(OR(ISNA(MATCH(H41,'_枚举'!$J$2:$J$8,0)),ISNA(MATCH(I41,'_枚举'!$C$2:$C$3,0)),ISNA(MATCH(J41,'_枚举'!$K$2:$K$6,0)),ISNA(MATCH(N41,'_枚举'!$L$2:$L$6,0)),ISNA(MATCH(O41,'_枚举'!$C$2:$C$3,0)),ISNA(MATCH(P41,'_枚举'!$C$2:$C$3,0)),ISNA(MATCH(Q41,'_枚举'!$C$2:$C$3,0)),ISNA(MATCH(R41,'_枚举'!$A$2:$A$4,0)),ISNA(MATCH(S41,'_枚举'!$B$2:$B$5,0)),ISNA(MATCH(T41,'_枚举'!$C$2:$C$3,0)),ISNA(MATCH(U41,'_枚举'!$C$2:$C$3,0)),ISNA(MATCH(V41,'_枚举'!$C$2:$C$3,0)),ISNA(MATCH(X41,'_枚举'!$M$2:$M$4,0))),"枚举错误",IF(AND(W41&lt;&gt;"",OR(LEN(W41)&lt;32,LEN(W41)&gt;128)),"格式错误",IF(OR(X41&lt;&gt;"PASSED",N41="UNKNOWN",AND(O41="TRUE",N41&lt;&gt;"OWNED",N41&lt;&gt;"AUTHORIZED",N41&lt;&gt;"PUBLIC_DOMAIN"),AND(P41="TRUE",N41&lt;&gt;"OWNED",N41&lt;&gt;"AUTHORIZED",N41&lt;&gt;"PUBLIC_DOMAIN"),U41="TRUE",V41="TRUE",AND(T41="TRUE",I41&lt;&gt;"TRUE")),"待人工复核","可导入")))))))</f>
        <v/>
      </c>
      <c r="B41" s="125" t="n"/>
      <c r="C41" s="125" t="n"/>
      <c r="D41" s="125" t="n"/>
      <c r="E41" s="125" t="n"/>
      <c r="F41" s="125" t="n"/>
      <c r="G41" s="126" t="n"/>
      <c r="H41" s="126" t="n"/>
      <c r="I41" s="126" t="n"/>
      <c r="J41" s="126" t="n"/>
      <c r="K41" s="125" t="n"/>
      <c r="L41" s="127" t="n"/>
      <c r="M41" s="127" t="n"/>
      <c r="N41" s="125" t="n"/>
      <c r="O41" s="125" t="n"/>
      <c r="P41" s="125" t="n"/>
      <c r="Q41" s="127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</row>
    <row r="42">
      <c r="A42" s="118">
        <f>IF(COUNTA(B42:Z42)=0,"待填写",IF(OR(B42="",AND(C42="",D42="",E42=""),F42="",G42="",H42="",I42="",J42="",N42="",O42="",P42="",Q42="",R42="",S42="",T42="",U42="",V42="",X42="",AND(OR(J42="SUPPLIER",J42="PLATFORM",J42="WEB"),L42="")),"请补全必填",IF(COUNTIF($B$5:$B$104,B42)&gt;1,"ID重复",IF(OR(AND(C42&lt;&gt;"",COUNTIF('水晶主数据'!$B$5:$B$54,C42)=0),AND(D42&lt;&gt;"",COUNTIF('珠子SKU'!$C$5:$C$104,D42)=0),AND(E42&lt;&gt;"",COUNTIF('库存批次'!$B$5:$B$104,E42)=0)),"关联不存在",IF(OR(ISNA(MATCH(H42,'_枚举'!$J$2:$J$8,0)),ISNA(MATCH(I42,'_枚举'!$C$2:$C$3,0)),ISNA(MATCH(J42,'_枚举'!$K$2:$K$6,0)),ISNA(MATCH(N42,'_枚举'!$L$2:$L$6,0)),ISNA(MATCH(O42,'_枚举'!$C$2:$C$3,0)),ISNA(MATCH(P42,'_枚举'!$C$2:$C$3,0)),ISNA(MATCH(Q42,'_枚举'!$C$2:$C$3,0)),ISNA(MATCH(R42,'_枚举'!$A$2:$A$4,0)),ISNA(MATCH(S42,'_枚举'!$B$2:$B$5,0)),ISNA(MATCH(T42,'_枚举'!$C$2:$C$3,0)),ISNA(MATCH(U42,'_枚举'!$C$2:$C$3,0)),ISNA(MATCH(V42,'_枚举'!$C$2:$C$3,0)),ISNA(MATCH(X42,'_枚举'!$M$2:$M$4,0))),"枚举错误",IF(AND(W42&lt;&gt;"",OR(LEN(W42)&lt;32,LEN(W42)&gt;128)),"格式错误",IF(OR(X42&lt;&gt;"PASSED",N42="UNKNOWN",AND(O42="TRUE",N42&lt;&gt;"OWNED",N42&lt;&gt;"AUTHORIZED",N42&lt;&gt;"PUBLIC_DOMAIN"),AND(P42="TRUE",N42&lt;&gt;"OWNED",N42&lt;&gt;"AUTHORIZED",N42&lt;&gt;"PUBLIC_DOMAIN"),U42="TRUE",V42="TRUE",AND(T42="TRUE",I42&lt;&gt;"TRUE")),"待人工复核","可导入")))))))</f>
        <v/>
      </c>
      <c r="B42" s="125" t="n"/>
      <c r="C42" s="125" t="n"/>
      <c r="D42" s="125" t="n"/>
      <c r="E42" s="125" t="n"/>
      <c r="F42" s="125" t="n"/>
      <c r="G42" s="126" t="n"/>
      <c r="H42" s="126" t="n"/>
      <c r="I42" s="126" t="n"/>
      <c r="J42" s="126" t="n"/>
      <c r="K42" s="125" t="n"/>
      <c r="L42" s="127" t="n"/>
      <c r="M42" s="127" t="n"/>
      <c r="N42" s="125" t="n"/>
      <c r="O42" s="125" t="n"/>
      <c r="P42" s="125" t="n"/>
      <c r="Q42" s="127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</row>
    <row r="43">
      <c r="A43" s="118">
        <f>IF(COUNTA(B43:Z43)=0,"待填写",IF(OR(B43="",AND(C43="",D43="",E43=""),F43="",G43="",H43="",I43="",J43="",N43="",O43="",P43="",Q43="",R43="",S43="",T43="",U43="",V43="",X43="",AND(OR(J43="SUPPLIER",J43="PLATFORM",J43="WEB"),L43="")),"请补全必填",IF(COUNTIF($B$5:$B$104,B43)&gt;1,"ID重复",IF(OR(AND(C43&lt;&gt;"",COUNTIF('水晶主数据'!$B$5:$B$54,C43)=0),AND(D43&lt;&gt;"",COUNTIF('珠子SKU'!$C$5:$C$104,D43)=0),AND(E43&lt;&gt;"",COUNTIF('库存批次'!$B$5:$B$104,E43)=0)),"关联不存在",IF(OR(ISNA(MATCH(H43,'_枚举'!$J$2:$J$8,0)),ISNA(MATCH(I43,'_枚举'!$C$2:$C$3,0)),ISNA(MATCH(J43,'_枚举'!$K$2:$K$6,0)),ISNA(MATCH(N43,'_枚举'!$L$2:$L$6,0)),ISNA(MATCH(O43,'_枚举'!$C$2:$C$3,0)),ISNA(MATCH(P43,'_枚举'!$C$2:$C$3,0)),ISNA(MATCH(Q43,'_枚举'!$C$2:$C$3,0)),ISNA(MATCH(R43,'_枚举'!$A$2:$A$4,0)),ISNA(MATCH(S43,'_枚举'!$B$2:$B$5,0)),ISNA(MATCH(T43,'_枚举'!$C$2:$C$3,0)),ISNA(MATCH(U43,'_枚举'!$C$2:$C$3,0)),ISNA(MATCH(V43,'_枚举'!$C$2:$C$3,0)),ISNA(MATCH(X43,'_枚举'!$M$2:$M$4,0))),"枚举错误",IF(AND(W43&lt;&gt;"",OR(LEN(W43)&lt;32,LEN(W43)&gt;128)),"格式错误",IF(OR(X43&lt;&gt;"PASSED",N43="UNKNOWN",AND(O43="TRUE",N43&lt;&gt;"OWNED",N43&lt;&gt;"AUTHORIZED",N43&lt;&gt;"PUBLIC_DOMAIN"),AND(P43="TRUE",N43&lt;&gt;"OWNED",N43&lt;&gt;"AUTHORIZED",N43&lt;&gt;"PUBLIC_DOMAIN"),U43="TRUE",V43="TRUE",AND(T43="TRUE",I43&lt;&gt;"TRUE")),"待人工复核","可导入")))))))</f>
        <v/>
      </c>
      <c r="B43" s="125" t="n"/>
      <c r="C43" s="125" t="n"/>
      <c r="D43" s="125" t="n"/>
      <c r="E43" s="125" t="n"/>
      <c r="F43" s="125" t="n"/>
      <c r="G43" s="126" t="n"/>
      <c r="H43" s="126" t="n"/>
      <c r="I43" s="126" t="n"/>
      <c r="J43" s="126" t="n"/>
      <c r="K43" s="125" t="n"/>
      <c r="L43" s="127" t="n"/>
      <c r="M43" s="127" t="n"/>
      <c r="N43" s="125" t="n"/>
      <c r="O43" s="125" t="n"/>
      <c r="P43" s="125" t="n"/>
      <c r="Q43" s="127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</row>
    <row r="44">
      <c r="A44" s="118">
        <f>IF(COUNTA(B44:Z44)=0,"待填写",IF(OR(B44="",AND(C44="",D44="",E44=""),F44="",G44="",H44="",I44="",J44="",N44="",O44="",P44="",Q44="",R44="",S44="",T44="",U44="",V44="",X44="",AND(OR(J44="SUPPLIER",J44="PLATFORM",J44="WEB"),L44="")),"请补全必填",IF(COUNTIF($B$5:$B$104,B44)&gt;1,"ID重复",IF(OR(AND(C44&lt;&gt;"",COUNTIF('水晶主数据'!$B$5:$B$54,C44)=0),AND(D44&lt;&gt;"",COUNTIF('珠子SKU'!$C$5:$C$104,D44)=0),AND(E44&lt;&gt;"",COUNTIF('库存批次'!$B$5:$B$104,E44)=0)),"关联不存在",IF(OR(ISNA(MATCH(H44,'_枚举'!$J$2:$J$8,0)),ISNA(MATCH(I44,'_枚举'!$C$2:$C$3,0)),ISNA(MATCH(J44,'_枚举'!$K$2:$K$6,0)),ISNA(MATCH(N44,'_枚举'!$L$2:$L$6,0)),ISNA(MATCH(O44,'_枚举'!$C$2:$C$3,0)),ISNA(MATCH(P44,'_枚举'!$C$2:$C$3,0)),ISNA(MATCH(Q44,'_枚举'!$C$2:$C$3,0)),ISNA(MATCH(R44,'_枚举'!$A$2:$A$4,0)),ISNA(MATCH(S44,'_枚举'!$B$2:$B$5,0)),ISNA(MATCH(T44,'_枚举'!$C$2:$C$3,0)),ISNA(MATCH(U44,'_枚举'!$C$2:$C$3,0)),ISNA(MATCH(V44,'_枚举'!$C$2:$C$3,0)),ISNA(MATCH(X44,'_枚举'!$M$2:$M$4,0))),"枚举错误",IF(AND(W44&lt;&gt;"",OR(LEN(W44)&lt;32,LEN(W44)&gt;128)),"格式错误",IF(OR(X44&lt;&gt;"PASSED",N44="UNKNOWN",AND(O44="TRUE",N44&lt;&gt;"OWNED",N44&lt;&gt;"AUTHORIZED",N44&lt;&gt;"PUBLIC_DOMAIN"),AND(P44="TRUE",N44&lt;&gt;"OWNED",N44&lt;&gt;"AUTHORIZED",N44&lt;&gt;"PUBLIC_DOMAIN"),U44="TRUE",V44="TRUE",AND(T44="TRUE",I44&lt;&gt;"TRUE")),"待人工复核","可导入")))))))</f>
        <v/>
      </c>
      <c r="B44" s="125" t="n"/>
      <c r="C44" s="125" t="n"/>
      <c r="D44" s="125" t="n"/>
      <c r="E44" s="125" t="n"/>
      <c r="F44" s="125" t="n"/>
      <c r="G44" s="126" t="n"/>
      <c r="H44" s="126" t="n"/>
      <c r="I44" s="126" t="n"/>
      <c r="J44" s="126" t="n"/>
      <c r="K44" s="125" t="n"/>
      <c r="L44" s="127" t="n"/>
      <c r="M44" s="127" t="n"/>
      <c r="N44" s="125" t="n"/>
      <c r="O44" s="125" t="n"/>
      <c r="P44" s="125" t="n"/>
      <c r="Q44" s="127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</row>
    <row r="45">
      <c r="A45" s="118">
        <f>IF(COUNTA(B45:Z45)=0,"待填写",IF(OR(B45="",AND(C45="",D45="",E45=""),F45="",G45="",H45="",I45="",J45="",N45="",O45="",P45="",Q45="",R45="",S45="",T45="",U45="",V45="",X45="",AND(OR(J45="SUPPLIER",J45="PLATFORM",J45="WEB"),L45="")),"请补全必填",IF(COUNTIF($B$5:$B$104,B45)&gt;1,"ID重复",IF(OR(AND(C45&lt;&gt;"",COUNTIF('水晶主数据'!$B$5:$B$54,C45)=0),AND(D45&lt;&gt;"",COUNTIF('珠子SKU'!$C$5:$C$104,D45)=0),AND(E45&lt;&gt;"",COUNTIF('库存批次'!$B$5:$B$104,E45)=0)),"关联不存在",IF(OR(ISNA(MATCH(H45,'_枚举'!$J$2:$J$8,0)),ISNA(MATCH(I45,'_枚举'!$C$2:$C$3,0)),ISNA(MATCH(J45,'_枚举'!$K$2:$K$6,0)),ISNA(MATCH(N45,'_枚举'!$L$2:$L$6,0)),ISNA(MATCH(O45,'_枚举'!$C$2:$C$3,0)),ISNA(MATCH(P45,'_枚举'!$C$2:$C$3,0)),ISNA(MATCH(Q45,'_枚举'!$C$2:$C$3,0)),ISNA(MATCH(R45,'_枚举'!$A$2:$A$4,0)),ISNA(MATCH(S45,'_枚举'!$B$2:$B$5,0)),ISNA(MATCH(T45,'_枚举'!$C$2:$C$3,0)),ISNA(MATCH(U45,'_枚举'!$C$2:$C$3,0)),ISNA(MATCH(V45,'_枚举'!$C$2:$C$3,0)),ISNA(MATCH(X45,'_枚举'!$M$2:$M$4,0))),"枚举错误",IF(AND(W45&lt;&gt;"",OR(LEN(W45)&lt;32,LEN(W45)&gt;128)),"格式错误",IF(OR(X45&lt;&gt;"PASSED",N45="UNKNOWN",AND(O45="TRUE",N45&lt;&gt;"OWNED",N45&lt;&gt;"AUTHORIZED",N45&lt;&gt;"PUBLIC_DOMAIN"),AND(P45="TRUE",N45&lt;&gt;"OWNED",N45&lt;&gt;"AUTHORIZED",N45&lt;&gt;"PUBLIC_DOMAIN"),U45="TRUE",V45="TRUE",AND(T45="TRUE",I45&lt;&gt;"TRUE")),"待人工复核","可导入")))))))</f>
        <v/>
      </c>
      <c r="B45" s="125" t="n"/>
      <c r="C45" s="125" t="n"/>
      <c r="D45" s="125" t="n"/>
      <c r="E45" s="125" t="n"/>
      <c r="F45" s="125" t="n"/>
      <c r="G45" s="126" t="n"/>
      <c r="H45" s="126" t="n"/>
      <c r="I45" s="126" t="n"/>
      <c r="J45" s="126" t="n"/>
      <c r="K45" s="125" t="n"/>
      <c r="L45" s="127" t="n"/>
      <c r="M45" s="127" t="n"/>
      <c r="N45" s="125" t="n"/>
      <c r="O45" s="125" t="n"/>
      <c r="P45" s="125" t="n"/>
      <c r="Q45" s="127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</row>
    <row r="46">
      <c r="A46" s="118">
        <f>IF(COUNTA(B46:Z46)=0,"待填写",IF(OR(B46="",AND(C46="",D46="",E46=""),F46="",G46="",H46="",I46="",J46="",N46="",O46="",P46="",Q46="",R46="",S46="",T46="",U46="",V46="",X46="",AND(OR(J46="SUPPLIER",J46="PLATFORM",J46="WEB"),L46="")),"请补全必填",IF(COUNTIF($B$5:$B$104,B46)&gt;1,"ID重复",IF(OR(AND(C46&lt;&gt;"",COUNTIF('水晶主数据'!$B$5:$B$54,C46)=0),AND(D46&lt;&gt;"",COUNTIF('珠子SKU'!$C$5:$C$104,D46)=0),AND(E46&lt;&gt;"",COUNTIF('库存批次'!$B$5:$B$104,E46)=0)),"关联不存在",IF(OR(ISNA(MATCH(H46,'_枚举'!$J$2:$J$8,0)),ISNA(MATCH(I46,'_枚举'!$C$2:$C$3,0)),ISNA(MATCH(J46,'_枚举'!$K$2:$K$6,0)),ISNA(MATCH(N46,'_枚举'!$L$2:$L$6,0)),ISNA(MATCH(O46,'_枚举'!$C$2:$C$3,0)),ISNA(MATCH(P46,'_枚举'!$C$2:$C$3,0)),ISNA(MATCH(Q46,'_枚举'!$C$2:$C$3,0)),ISNA(MATCH(R46,'_枚举'!$A$2:$A$4,0)),ISNA(MATCH(S46,'_枚举'!$B$2:$B$5,0)),ISNA(MATCH(T46,'_枚举'!$C$2:$C$3,0)),ISNA(MATCH(U46,'_枚举'!$C$2:$C$3,0)),ISNA(MATCH(V46,'_枚举'!$C$2:$C$3,0)),ISNA(MATCH(X46,'_枚举'!$M$2:$M$4,0))),"枚举错误",IF(AND(W46&lt;&gt;"",OR(LEN(W46)&lt;32,LEN(W46)&gt;128)),"格式错误",IF(OR(X46&lt;&gt;"PASSED",N46="UNKNOWN",AND(O46="TRUE",N46&lt;&gt;"OWNED",N46&lt;&gt;"AUTHORIZED",N46&lt;&gt;"PUBLIC_DOMAIN"),AND(P46="TRUE",N46&lt;&gt;"OWNED",N46&lt;&gt;"AUTHORIZED",N46&lt;&gt;"PUBLIC_DOMAIN"),U46="TRUE",V46="TRUE",AND(T46="TRUE",I46&lt;&gt;"TRUE")),"待人工复核","可导入")))))))</f>
        <v/>
      </c>
      <c r="B46" s="125" t="n"/>
      <c r="C46" s="125" t="n"/>
      <c r="D46" s="125" t="n"/>
      <c r="E46" s="125" t="n"/>
      <c r="F46" s="125" t="n"/>
      <c r="G46" s="126" t="n"/>
      <c r="H46" s="126" t="n"/>
      <c r="I46" s="126" t="n"/>
      <c r="J46" s="126" t="n"/>
      <c r="K46" s="125" t="n"/>
      <c r="L46" s="127" t="n"/>
      <c r="M46" s="127" t="n"/>
      <c r="N46" s="125" t="n"/>
      <c r="O46" s="125" t="n"/>
      <c r="P46" s="125" t="n"/>
      <c r="Q46" s="127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</row>
    <row r="47">
      <c r="A47" s="118">
        <f>IF(COUNTA(B47:Z47)=0,"待填写",IF(OR(B47="",AND(C47="",D47="",E47=""),F47="",G47="",H47="",I47="",J47="",N47="",O47="",P47="",Q47="",R47="",S47="",T47="",U47="",V47="",X47="",AND(OR(J47="SUPPLIER",J47="PLATFORM",J47="WEB"),L47="")),"请补全必填",IF(COUNTIF($B$5:$B$104,B47)&gt;1,"ID重复",IF(OR(AND(C47&lt;&gt;"",COUNTIF('水晶主数据'!$B$5:$B$54,C47)=0),AND(D47&lt;&gt;"",COUNTIF('珠子SKU'!$C$5:$C$104,D47)=0),AND(E47&lt;&gt;"",COUNTIF('库存批次'!$B$5:$B$104,E47)=0)),"关联不存在",IF(OR(ISNA(MATCH(H47,'_枚举'!$J$2:$J$8,0)),ISNA(MATCH(I47,'_枚举'!$C$2:$C$3,0)),ISNA(MATCH(J47,'_枚举'!$K$2:$K$6,0)),ISNA(MATCH(N47,'_枚举'!$L$2:$L$6,0)),ISNA(MATCH(O47,'_枚举'!$C$2:$C$3,0)),ISNA(MATCH(P47,'_枚举'!$C$2:$C$3,0)),ISNA(MATCH(Q47,'_枚举'!$C$2:$C$3,0)),ISNA(MATCH(R47,'_枚举'!$A$2:$A$4,0)),ISNA(MATCH(S47,'_枚举'!$B$2:$B$5,0)),ISNA(MATCH(T47,'_枚举'!$C$2:$C$3,0)),ISNA(MATCH(U47,'_枚举'!$C$2:$C$3,0)),ISNA(MATCH(V47,'_枚举'!$C$2:$C$3,0)),ISNA(MATCH(X47,'_枚举'!$M$2:$M$4,0))),"枚举错误",IF(AND(W47&lt;&gt;"",OR(LEN(W47)&lt;32,LEN(W47)&gt;128)),"格式错误",IF(OR(X47&lt;&gt;"PASSED",N47="UNKNOWN",AND(O47="TRUE",N47&lt;&gt;"OWNED",N47&lt;&gt;"AUTHORIZED",N47&lt;&gt;"PUBLIC_DOMAIN"),AND(P47="TRUE",N47&lt;&gt;"OWNED",N47&lt;&gt;"AUTHORIZED",N47&lt;&gt;"PUBLIC_DOMAIN"),U47="TRUE",V47="TRUE",AND(T47="TRUE",I47&lt;&gt;"TRUE")),"待人工复核","可导入")))))))</f>
        <v/>
      </c>
      <c r="B47" s="125" t="n"/>
      <c r="C47" s="125" t="n"/>
      <c r="D47" s="125" t="n"/>
      <c r="E47" s="125" t="n"/>
      <c r="F47" s="125" t="n"/>
      <c r="G47" s="126" t="n"/>
      <c r="H47" s="126" t="n"/>
      <c r="I47" s="126" t="n"/>
      <c r="J47" s="126" t="n"/>
      <c r="K47" s="125" t="n"/>
      <c r="L47" s="127" t="n"/>
      <c r="M47" s="127" t="n"/>
      <c r="N47" s="125" t="n"/>
      <c r="O47" s="125" t="n"/>
      <c r="P47" s="125" t="n"/>
      <c r="Q47" s="127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</row>
    <row r="48">
      <c r="A48" s="118">
        <f>IF(COUNTA(B48:Z48)=0,"待填写",IF(OR(B48="",AND(C48="",D48="",E48=""),F48="",G48="",H48="",I48="",J48="",N48="",O48="",P48="",Q48="",R48="",S48="",T48="",U48="",V48="",X48="",AND(OR(J48="SUPPLIER",J48="PLATFORM",J48="WEB"),L48="")),"请补全必填",IF(COUNTIF($B$5:$B$104,B48)&gt;1,"ID重复",IF(OR(AND(C48&lt;&gt;"",COUNTIF('水晶主数据'!$B$5:$B$54,C48)=0),AND(D48&lt;&gt;"",COUNTIF('珠子SKU'!$C$5:$C$104,D48)=0),AND(E48&lt;&gt;"",COUNTIF('库存批次'!$B$5:$B$104,E48)=0)),"关联不存在",IF(OR(ISNA(MATCH(H48,'_枚举'!$J$2:$J$8,0)),ISNA(MATCH(I48,'_枚举'!$C$2:$C$3,0)),ISNA(MATCH(J48,'_枚举'!$K$2:$K$6,0)),ISNA(MATCH(N48,'_枚举'!$L$2:$L$6,0)),ISNA(MATCH(O48,'_枚举'!$C$2:$C$3,0)),ISNA(MATCH(P48,'_枚举'!$C$2:$C$3,0)),ISNA(MATCH(Q48,'_枚举'!$C$2:$C$3,0)),ISNA(MATCH(R48,'_枚举'!$A$2:$A$4,0)),ISNA(MATCH(S48,'_枚举'!$B$2:$B$5,0)),ISNA(MATCH(T48,'_枚举'!$C$2:$C$3,0)),ISNA(MATCH(U48,'_枚举'!$C$2:$C$3,0)),ISNA(MATCH(V48,'_枚举'!$C$2:$C$3,0)),ISNA(MATCH(X48,'_枚举'!$M$2:$M$4,0))),"枚举错误",IF(AND(W48&lt;&gt;"",OR(LEN(W48)&lt;32,LEN(W48)&gt;128)),"格式错误",IF(OR(X48&lt;&gt;"PASSED",N48="UNKNOWN",AND(O48="TRUE",N48&lt;&gt;"OWNED",N48&lt;&gt;"AUTHORIZED",N48&lt;&gt;"PUBLIC_DOMAIN"),AND(P48="TRUE",N48&lt;&gt;"OWNED",N48&lt;&gt;"AUTHORIZED",N48&lt;&gt;"PUBLIC_DOMAIN"),U48="TRUE",V48="TRUE",AND(T48="TRUE",I48&lt;&gt;"TRUE")),"待人工复核","可导入")))))))</f>
        <v/>
      </c>
      <c r="B48" s="125" t="n"/>
      <c r="C48" s="125" t="n"/>
      <c r="D48" s="125" t="n"/>
      <c r="E48" s="125" t="n"/>
      <c r="F48" s="125" t="n"/>
      <c r="G48" s="126" t="n"/>
      <c r="H48" s="126" t="n"/>
      <c r="I48" s="126" t="n"/>
      <c r="J48" s="126" t="n"/>
      <c r="K48" s="125" t="n"/>
      <c r="L48" s="127" t="n"/>
      <c r="M48" s="127" t="n"/>
      <c r="N48" s="125" t="n"/>
      <c r="O48" s="125" t="n"/>
      <c r="P48" s="125" t="n"/>
      <c r="Q48" s="127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</row>
    <row r="49">
      <c r="A49" s="118">
        <f>IF(COUNTA(B49:Z49)=0,"待填写",IF(OR(B49="",AND(C49="",D49="",E49=""),F49="",G49="",H49="",I49="",J49="",N49="",O49="",P49="",Q49="",R49="",S49="",T49="",U49="",V49="",X49="",AND(OR(J49="SUPPLIER",J49="PLATFORM",J49="WEB"),L49="")),"请补全必填",IF(COUNTIF($B$5:$B$104,B49)&gt;1,"ID重复",IF(OR(AND(C49&lt;&gt;"",COUNTIF('水晶主数据'!$B$5:$B$54,C49)=0),AND(D49&lt;&gt;"",COUNTIF('珠子SKU'!$C$5:$C$104,D49)=0),AND(E49&lt;&gt;"",COUNTIF('库存批次'!$B$5:$B$104,E49)=0)),"关联不存在",IF(OR(ISNA(MATCH(H49,'_枚举'!$J$2:$J$8,0)),ISNA(MATCH(I49,'_枚举'!$C$2:$C$3,0)),ISNA(MATCH(J49,'_枚举'!$K$2:$K$6,0)),ISNA(MATCH(N49,'_枚举'!$L$2:$L$6,0)),ISNA(MATCH(O49,'_枚举'!$C$2:$C$3,0)),ISNA(MATCH(P49,'_枚举'!$C$2:$C$3,0)),ISNA(MATCH(Q49,'_枚举'!$C$2:$C$3,0)),ISNA(MATCH(R49,'_枚举'!$A$2:$A$4,0)),ISNA(MATCH(S49,'_枚举'!$B$2:$B$5,0)),ISNA(MATCH(T49,'_枚举'!$C$2:$C$3,0)),ISNA(MATCH(U49,'_枚举'!$C$2:$C$3,0)),ISNA(MATCH(V49,'_枚举'!$C$2:$C$3,0)),ISNA(MATCH(X49,'_枚举'!$M$2:$M$4,0))),"枚举错误",IF(AND(W49&lt;&gt;"",OR(LEN(W49)&lt;32,LEN(W49)&gt;128)),"格式错误",IF(OR(X49&lt;&gt;"PASSED",N49="UNKNOWN",AND(O49="TRUE",N49&lt;&gt;"OWNED",N49&lt;&gt;"AUTHORIZED",N49&lt;&gt;"PUBLIC_DOMAIN"),AND(P49="TRUE",N49&lt;&gt;"OWNED",N49&lt;&gt;"AUTHORIZED",N49&lt;&gt;"PUBLIC_DOMAIN"),U49="TRUE",V49="TRUE",AND(T49="TRUE",I49&lt;&gt;"TRUE")),"待人工复核","可导入")))))))</f>
        <v/>
      </c>
      <c r="B49" s="125" t="n"/>
      <c r="C49" s="125" t="n"/>
      <c r="D49" s="125" t="n"/>
      <c r="E49" s="125" t="n"/>
      <c r="F49" s="125" t="n"/>
      <c r="G49" s="126" t="n"/>
      <c r="H49" s="126" t="n"/>
      <c r="I49" s="126" t="n"/>
      <c r="J49" s="126" t="n"/>
      <c r="K49" s="125" t="n"/>
      <c r="L49" s="127" t="n"/>
      <c r="M49" s="127" t="n"/>
      <c r="N49" s="125" t="n"/>
      <c r="O49" s="125" t="n"/>
      <c r="P49" s="125" t="n"/>
      <c r="Q49" s="127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</row>
    <row r="50">
      <c r="A50" s="118">
        <f>IF(COUNTA(B50:Z50)=0,"待填写",IF(OR(B50="",AND(C50="",D50="",E50=""),F50="",G50="",H50="",I50="",J50="",N50="",O50="",P50="",Q50="",R50="",S50="",T50="",U50="",V50="",X50="",AND(OR(J50="SUPPLIER",J50="PLATFORM",J50="WEB"),L50="")),"请补全必填",IF(COUNTIF($B$5:$B$104,B50)&gt;1,"ID重复",IF(OR(AND(C50&lt;&gt;"",COUNTIF('水晶主数据'!$B$5:$B$54,C50)=0),AND(D50&lt;&gt;"",COUNTIF('珠子SKU'!$C$5:$C$104,D50)=0),AND(E50&lt;&gt;"",COUNTIF('库存批次'!$B$5:$B$104,E50)=0)),"关联不存在",IF(OR(ISNA(MATCH(H50,'_枚举'!$J$2:$J$8,0)),ISNA(MATCH(I50,'_枚举'!$C$2:$C$3,0)),ISNA(MATCH(J50,'_枚举'!$K$2:$K$6,0)),ISNA(MATCH(N50,'_枚举'!$L$2:$L$6,0)),ISNA(MATCH(O50,'_枚举'!$C$2:$C$3,0)),ISNA(MATCH(P50,'_枚举'!$C$2:$C$3,0)),ISNA(MATCH(Q50,'_枚举'!$C$2:$C$3,0)),ISNA(MATCH(R50,'_枚举'!$A$2:$A$4,0)),ISNA(MATCH(S50,'_枚举'!$B$2:$B$5,0)),ISNA(MATCH(T50,'_枚举'!$C$2:$C$3,0)),ISNA(MATCH(U50,'_枚举'!$C$2:$C$3,0)),ISNA(MATCH(V50,'_枚举'!$C$2:$C$3,0)),ISNA(MATCH(X50,'_枚举'!$M$2:$M$4,0))),"枚举错误",IF(AND(W50&lt;&gt;"",OR(LEN(W50)&lt;32,LEN(W50)&gt;128)),"格式错误",IF(OR(X50&lt;&gt;"PASSED",N50="UNKNOWN",AND(O50="TRUE",N50&lt;&gt;"OWNED",N50&lt;&gt;"AUTHORIZED",N50&lt;&gt;"PUBLIC_DOMAIN"),AND(P50="TRUE",N50&lt;&gt;"OWNED",N50&lt;&gt;"AUTHORIZED",N50&lt;&gt;"PUBLIC_DOMAIN"),U50="TRUE",V50="TRUE",AND(T50="TRUE",I50&lt;&gt;"TRUE")),"待人工复核","可导入")))))))</f>
        <v/>
      </c>
      <c r="B50" s="125" t="n"/>
      <c r="C50" s="125" t="n"/>
      <c r="D50" s="125" t="n"/>
      <c r="E50" s="125" t="n"/>
      <c r="F50" s="125" t="n"/>
      <c r="G50" s="126" t="n"/>
      <c r="H50" s="126" t="n"/>
      <c r="I50" s="126" t="n"/>
      <c r="J50" s="126" t="n"/>
      <c r="K50" s="125" t="n"/>
      <c r="L50" s="127" t="n"/>
      <c r="M50" s="127" t="n"/>
      <c r="N50" s="125" t="n"/>
      <c r="O50" s="125" t="n"/>
      <c r="P50" s="125" t="n"/>
      <c r="Q50" s="127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</row>
    <row r="51">
      <c r="A51" s="118">
        <f>IF(COUNTA(B51:Z51)=0,"待填写",IF(OR(B51="",AND(C51="",D51="",E51=""),F51="",G51="",H51="",I51="",J51="",N51="",O51="",P51="",Q51="",R51="",S51="",T51="",U51="",V51="",X51="",AND(OR(J51="SUPPLIER",J51="PLATFORM",J51="WEB"),L51="")),"请补全必填",IF(COUNTIF($B$5:$B$104,B51)&gt;1,"ID重复",IF(OR(AND(C51&lt;&gt;"",COUNTIF('水晶主数据'!$B$5:$B$54,C51)=0),AND(D51&lt;&gt;"",COUNTIF('珠子SKU'!$C$5:$C$104,D51)=0),AND(E51&lt;&gt;"",COUNTIF('库存批次'!$B$5:$B$104,E51)=0)),"关联不存在",IF(OR(ISNA(MATCH(H51,'_枚举'!$J$2:$J$8,0)),ISNA(MATCH(I51,'_枚举'!$C$2:$C$3,0)),ISNA(MATCH(J51,'_枚举'!$K$2:$K$6,0)),ISNA(MATCH(N51,'_枚举'!$L$2:$L$6,0)),ISNA(MATCH(O51,'_枚举'!$C$2:$C$3,0)),ISNA(MATCH(P51,'_枚举'!$C$2:$C$3,0)),ISNA(MATCH(Q51,'_枚举'!$C$2:$C$3,0)),ISNA(MATCH(R51,'_枚举'!$A$2:$A$4,0)),ISNA(MATCH(S51,'_枚举'!$B$2:$B$5,0)),ISNA(MATCH(T51,'_枚举'!$C$2:$C$3,0)),ISNA(MATCH(U51,'_枚举'!$C$2:$C$3,0)),ISNA(MATCH(V51,'_枚举'!$C$2:$C$3,0)),ISNA(MATCH(X51,'_枚举'!$M$2:$M$4,0))),"枚举错误",IF(AND(W51&lt;&gt;"",OR(LEN(W51)&lt;32,LEN(W51)&gt;128)),"格式错误",IF(OR(X51&lt;&gt;"PASSED",N51="UNKNOWN",AND(O51="TRUE",N51&lt;&gt;"OWNED",N51&lt;&gt;"AUTHORIZED",N51&lt;&gt;"PUBLIC_DOMAIN"),AND(P51="TRUE",N51&lt;&gt;"OWNED",N51&lt;&gt;"AUTHORIZED",N51&lt;&gt;"PUBLIC_DOMAIN"),U51="TRUE",V51="TRUE",AND(T51="TRUE",I51&lt;&gt;"TRUE")),"待人工复核","可导入")))))))</f>
        <v/>
      </c>
      <c r="B51" s="125" t="n"/>
      <c r="C51" s="125" t="n"/>
      <c r="D51" s="125" t="n"/>
      <c r="E51" s="125" t="n"/>
      <c r="F51" s="125" t="n"/>
      <c r="G51" s="126" t="n"/>
      <c r="H51" s="126" t="n"/>
      <c r="I51" s="126" t="n"/>
      <c r="J51" s="126" t="n"/>
      <c r="K51" s="125" t="n"/>
      <c r="L51" s="127" t="n"/>
      <c r="M51" s="127" t="n"/>
      <c r="N51" s="125" t="n"/>
      <c r="O51" s="125" t="n"/>
      <c r="P51" s="125" t="n"/>
      <c r="Q51" s="127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</row>
    <row r="52">
      <c r="A52" s="118">
        <f>IF(COUNTA(B52:Z52)=0,"待填写",IF(OR(B52="",AND(C52="",D52="",E52=""),F52="",G52="",H52="",I52="",J52="",N52="",O52="",P52="",Q52="",R52="",S52="",T52="",U52="",V52="",X52="",AND(OR(J52="SUPPLIER",J52="PLATFORM",J52="WEB"),L52="")),"请补全必填",IF(COUNTIF($B$5:$B$104,B52)&gt;1,"ID重复",IF(OR(AND(C52&lt;&gt;"",COUNTIF('水晶主数据'!$B$5:$B$54,C52)=0),AND(D52&lt;&gt;"",COUNTIF('珠子SKU'!$C$5:$C$104,D52)=0),AND(E52&lt;&gt;"",COUNTIF('库存批次'!$B$5:$B$104,E52)=0)),"关联不存在",IF(OR(ISNA(MATCH(H52,'_枚举'!$J$2:$J$8,0)),ISNA(MATCH(I52,'_枚举'!$C$2:$C$3,0)),ISNA(MATCH(J52,'_枚举'!$K$2:$K$6,0)),ISNA(MATCH(N52,'_枚举'!$L$2:$L$6,0)),ISNA(MATCH(O52,'_枚举'!$C$2:$C$3,0)),ISNA(MATCH(P52,'_枚举'!$C$2:$C$3,0)),ISNA(MATCH(Q52,'_枚举'!$C$2:$C$3,0)),ISNA(MATCH(R52,'_枚举'!$A$2:$A$4,0)),ISNA(MATCH(S52,'_枚举'!$B$2:$B$5,0)),ISNA(MATCH(T52,'_枚举'!$C$2:$C$3,0)),ISNA(MATCH(U52,'_枚举'!$C$2:$C$3,0)),ISNA(MATCH(V52,'_枚举'!$C$2:$C$3,0)),ISNA(MATCH(X52,'_枚举'!$M$2:$M$4,0))),"枚举错误",IF(AND(W52&lt;&gt;"",OR(LEN(W52)&lt;32,LEN(W52)&gt;128)),"格式错误",IF(OR(X52&lt;&gt;"PASSED",N52="UNKNOWN",AND(O52="TRUE",N52&lt;&gt;"OWNED",N52&lt;&gt;"AUTHORIZED",N52&lt;&gt;"PUBLIC_DOMAIN"),AND(P52="TRUE",N52&lt;&gt;"OWNED",N52&lt;&gt;"AUTHORIZED",N52&lt;&gt;"PUBLIC_DOMAIN"),U52="TRUE",V52="TRUE",AND(T52="TRUE",I52&lt;&gt;"TRUE")),"待人工复核","可导入")))))))</f>
        <v/>
      </c>
      <c r="B52" s="125" t="n"/>
      <c r="C52" s="125" t="n"/>
      <c r="D52" s="125" t="n"/>
      <c r="E52" s="125" t="n"/>
      <c r="F52" s="125" t="n"/>
      <c r="G52" s="126" t="n"/>
      <c r="H52" s="126" t="n"/>
      <c r="I52" s="126" t="n"/>
      <c r="J52" s="126" t="n"/>
      <c r="K52" s="125" t="n"/>
      <c r="L52" s="127" t="n"/>
      <c r="M52" s="127" t="n"/>
      <c r="N52" s="125" t="n"/>
      <c r="O52" s="125" t="n"/>
      <c r="P52" s="125" t="n"/>
      <c r="Q52" s="127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</row>
    <row r="53">
      <c r="A53" s="118">
        <f>IF(COUNTA(B53:Z53)=0,"待填写",IF(OR(B53="",AND(C53="",D53="",E53=""),F53="",G53="",H53="",I53="",J53="",N53="",O53="",P53="",Q53="",R53="",S53="",T53="",U53="",V53="",X53="",AND(OR(J53="SUPPLIER",J53="PLATFORM",J53="WEB"),L53="")),"请补全必填",IF(COUNTIF($B$5:$B$104,B53)&gt;1,"ID重复",IF(OR(AND(C53&lt;&gt;"",COUNTIF('水晶主数据'!$B$5:$B$54,C53)=0),AND(D53&lt;&gt;"",COUNTIF('珠子SKU'!$C$5:$C$104,D53)=0),AND(E53&lt;&gt;"",COUNTIF('库存批次'!$B$5:$B$104,E53)=0)),"关联不存在",IF(OR(ISNA(MATCH(H53,'_枚举'!$J$2:$J$8,0)),ISNA(MATCH(I53,'_枚举'!$C$2:$C$3,0)),ISNA(MATCH(J53,'_枚举'!$K$2:$K$6,0)),ISNA(MATCH(N53,'_枚举'!$L$2:$L$6,0)),ISNA(MATCH(O53,'_枚举'!$C$2:$C$3,0)),ISNA(MATCH(P53,'_枚举'!$C$2:$C$3,0)),ISNA(MATCH(Q53,'_枚举'!$C$2:$C$3,0)),ISNA(MATCH(R53,'_枚举'!$A$2:$A$4,0)),ISNA(MATCH(S53,'_枚举'!$B$2:$B$5,0)),ISNA(MATCH(T53,'_枚举'!$C$2:$C$3,0)),ISNA(MATCH(U53,'_枚举'!$C$2:$C$3,0)),ISNA(MATCH(V53,'_枚举'!$C$2:$C$3,0)),ISNA(MATCH(X53,'_枚举'!$M$2:$M$4,0))),"枚举错误",IF(AND(W53&lt;&gt;"",OR(LEN(W53)&lt;32,LEN(W53)&gt;128)),"格式错误",IF(OR(X53&lt;&gt;"PASSED",N53="UNKNOWN",AND(O53="TRUE",N53&lt;&gt;"OWNED",N53&lt;&gt;"AUTHORIZED",N53&lt;&gt;"PUBLIC_DOMAIN"),AND(P53="TRUE",N53&lt;&gt;"OWNED",N53&lt;&gt;"AUTHORIZED",N53&lt;&gt;"PUBLIC_DOMAIN"),U53="TRUE",V53="TRUE",AND(T53="TRUE",I53&lt;&gt;"TRUE")),"待人工复核","可导入")))))))</f>
        <v/>
      </c>
      <c r="B53" s="125" t="n"/>
      <c r="C53" s="125" t="n"/>
      <c r="D53" s="125" t="n"/>
      <c r="E53" s="125" t="n"/>
      <c r="F53" s="125" t="n"/>
      <c r="G53" s="126" t="n"/>
      <c r="H53" s="126" t="n"/>
      <c r="I53" s="126" t="n"/>
      <c r="J53" s="126" t="n"/>
      <c r="K53" s="125" t="n"/>
      <c r="L53" s="127" t="n"/>
      <c r="M53" s="127" t="n"/>
      <c r="N53" s="125" t="n"/>
      <c r="O53" s="125" t="n"/>
      <c r="P53" s="125" t="n"/>
      <c r="Q53" s="127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</row>
    <row r="54">
      <c r="A54" s="118">
        <f>IF(COUNTA(B54:Z54)=0,"待填写",IF(OR(B54="",AND(C54="",D54="",E54=""),F54="",G54="",H54="",I54="",J54="",N54="",O54="",P54="",Q54="",R54="",S54="",T54="",U54="",V54="",X54="",AND(OR(J54="SUPPLIER",J54="PLATFORM",J54="WEB"),L54="")),"请补全必填",IF(COUNTIF($B$5:$B$104,B54)&gt;1,"ID重复",IF(OR(AND(C54&lt;&gt;"",COUNTIF('水晶主数据'!$B$5:$B$54,C54)=0),AND(D54&lt;&gt;"",COUNTIF('珠子SKU'!$C$5:$C$104,D54)=0),AND(E54&lt;&gt;"",COUNTIF('库存批次'!$B$5:$B$104,E54)=0)),"关联不存在",IF(OR(ISNA(MATCH(H54,'_枚举'!$J$2:$J$8,0)),ISNA(MATCH(I54,'_枚举'!$C$2:$C$3,0)),ISNA(MATCH(J54,'_枚举'!$K$2:$K$6,0)),ISNA(MATCH(N54,'_枚举'!$L$2:$L$6,0)),ISNA(MATCH(O54,'_枚举'!$C$2:$C$3,0)),ISNA(MATCH(P54,'_枚举'!$C$2:$C$3,0)),ISNA(MATCH(Q54,'_枚举'!$C$2:$C$3,0)),ISNA(MATCH(R54,'_枚举'!$A$2:$A$4,0)),ISNA(MATCH(S54,'_枚举'!$B$2:$B$5,0)),ISNA(MATCH(T54,'_枚举'!$C$2:$C$3,0)),ISNA(MATCH(U54,'_枚举'!$C$2:$C$3,0)),ISNA(MATCH(V54,'_枚举'!$C$2:$C$3,0)),ISNA(MATCH(X54,'_枚举'!$M$2:$M$4,0))),"枚举错误",IF(AND(W54&lt;&gt;"",OR(LEN(W54)&lt;32,LEN(W54)&gt;128)),"格式错误",IF(OR(X54&lt;&gt;"PASSED",N54="UNKNOWN",AND(O54="TRUE",N54&lt;&gt;"OWNED",N54&lt;&gt;"AUTHORIZED",N54&lt;&gt;"PUBLIC_DOMAIN"),AND(P54="TRUE",N54&lt;&gt;"OWNED",N54&lt;&gt;"AUTHORIZED",N54&lt;&gt;"PUBLIC_DOMAIN"),U54="TRUE",V54="TRUE",AND(T54="TRUE",I54&lt;&gt;"TRUE")),"待人工复核","可导入")))))))</f>
        <v/>
      </c>
      <c r="B54" s="125" t="n"/>
      <c r="C54" s="125" t="n"/>
      <c r="D54" s="125" t="n"/>
      <c r="E54" s="125" t="n"/>
      <c r="F54" s="125" t="n"/>
      <c r="G54" s="126" t="n"/>
      <c r="H54" s="126" t="n"/>
      <c r="I54" s="126" t="n"/>
      <c r="J54" s="126" t="n"/>
      <c r="K54" s="125" t="n"/>
      <c r="L54" s="127" t="n"/>
      <c r="M54" s="127" t="n"/>
      <c r="N54" s="125" t="n"/>
      <c r="O54" s="125" t="n"/>
      <c r="P54" s="125" t="n"/>
      <c r="Q54" s="127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</row>
    <row r="55">
      <c r="A55" s="118">
        <f>IF(COUNTA(B55:Z55)=0,"待填写",IF(OR(B55="",AND(C55="",D55="",E55=""),F55="",G55="",H55="",I55="",J55="",N55="",O55="",P55="",Q55="",R55="",S55="",T55="",U55="",V55="",X55="",AND(OR(J55="SUPPLIER",J55="PLATFORM",J55="WEB"),L55="")),"请补全必填",IF(COUNTIF($B$5:$B$104,B55)&gt;1,"ID重复",IF(OR(AND(C55&lt;&gt;"",COUNTIF('水晶主数据'!$B$5:$B$54,C55)=0),AND(D55&lt;&gt;"",COUNTIF('珠子SKU'!$C$5:$C$104,D55)=0),AND(E55&lt;&gt;"",COUNTIF('库存批次'!$B$5:$B$104,E55)=0)),"关联不存在",IF(OR(ISNA(MATCH(H55,'_枚举'!$J$2:$J$8,0)),ISNA(MATCH(I55,'_枚举'!$C$2:$C$3,0)),ISNA(MATCH(J55,'_枚举'!$K$2:$K$6,0)),ISNA(MATCH(N55,'_枚举'!$L$2:$L$6,0)),ISNA(MATCH(O55,'_枚举'!$C$2:$C$3,0)),ISNA(MATCH(P55,'_枚举'!$C$2:$C$3,0)),ISNA(MATCH(Q55,'_枚举'!$C$2:$C$3,0)),ISNA(MATCH(R55,'_枚举'!$A$2:$A$4,0)),ISNA(MATCH(S55,'_枚举'!$B$2:$B$5,0)),ISNA(MATCH(T55,'_枚举'!$C$2:$C$3,0)),ISNA(MATCH(U55,'_枚举'!$C$2:$C$3,0)),ISNA(MATCH(V55,'_枚举'!$C$2:$C$3,0)),ISNA(MATCH(X55,'_枚举'!$M$2:$M$4,0))),"枚举错误",IF(AND(W55&lt;&gt;"",OR(LEN(W55)&lt;32,LEN(W55)&gt;128)),"格式错误",IF(OR(X55&lt;&gt;"PASSED",N55="UNKNOWN",AND(O55="TRUE",N55&lt;&gt;"OWNED",N55&lt;&gt;"AUTHORIZED",N55&lt;&gt;"PUBLIC_DOMAIN"),AND(P55="TRUE",N55&lt;&gt;"OWNED",N55&lt;&gt;"AUTHORIZED",N55&lt;&gt;"PUBLIC_DOMAIN"),U55="TRUE",V55="TRUE",AND(T55="TRUE",I55&lt;&gt;"TRUE")),"待人工复核","可导入")))))))</f>
        <v/>
      </c>
      <c r="B55" s="125" t="n"/>
      <c r="C55" s="125" t="n"/>
      <c r="D55" s="125" t="n"/>
      <c r="E55" s="125" t="n"/>
      <c r="F55" s="125" t="n"/>
      <c r="G55" s="126" t="n"/>
      <c r="H55" s="126" t="n"/>
      <c r="I55" s="126" t="n"/>
      <c r="J55" s="126" t="n"/>
      <c r="K55" s="125" t="n"/>
      <c r="L55" s="127" t="n"/>
      <c r="M55" s="127" t="n"/>
      <c r="N55" s="125" t="n"/>
      <c r="O55" s="125" t="n"/>
      <c r="P55" s="125" t="n"/>
      <c r="Q55" s="127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</row>
    <row r="56">
      <c r="A56" s="118">
        <f>IF(COUNTA(B56:Z56)=0,"待填写",IF(OR(B56="",AND(C56="",D56="",E56=""),F56="",G56="",H56="",I56="",J56="",N56="",O56="",P56="",Q56="",R56="",S56="",T56="",U56="",V56="",X56="",AND(OR(J56="SUPPLIER",J56="PLATFORM",J56="WEB"),L56="")),"请补全必填",IF(COUNTIF($B$5:$B$104,B56)&gt;1,"ID重复",IF(OR(AND(C56&lt;&gt;"",COUNTIF('水晶主数据'!$B$5:$B$54,C56)=0),AND(D56&lt;&gt;"",COUNTIF('珠子SKU'!$C$5:$C$104,D56)=0),AND(E56&lt;&gt;"",COUNTIF('库存批次'!$B$5:$B$104,E56)=0)),"关联不存在",IF(OR(ISNA(MATCH(H56,'_枚举'!$J$2:$J$8,0)),ISNA(MATCH(I56,'_枚举'!$C$2:$C$3,0)),ISNA(MATCH(J56,'_枚举'!$K$2:$K$6,0)),ISNA(MATCH(N56,'_枚举'!$L$2:$L$6,0)),ISNA(MATCH(O56,'_枚举'!$C$2:$C$3,0)),ISNA(MATCH(P56,'_枚举'!$C$2:$C$3,0)),ISNA(MATCH(Q56,'_枚举'!$C$2:$C$3,0)),ISNA(MATCH(R56,'_枚举'!$A$2:$A$4,0)),ISNA(MATCH(S56,'_枚举'!$B$2:$B$5,0)),ISNA(MATCH(T56,'_枚举'!$C$2:$C$3,0)),ISNA(MATCH(U56,'_枚举'!$C$2:$C$3,0)),ISNA(MATCH(V56,'_枚举'!$C$2:$C$3,0)),ISNA(MATCH(X56,'_枚举'!$M$2:$M$4,0))),"枚举错误",IF(AND(W56&lt;&gt;"",OR(LEN(W56)&lt;32,LEN(W56)&gt;128)),"格式错误",IF(OR(X56&lt;&gt;"PASSED",N56="UNKNOWN",AND(O56="TRUE",N56&lt;&gt;"OWNED",N56&lt;&gt;"AUTHORIZED",N56&lt;&gt;"PUBLIC_DOMAIN"),AND(P56="TRUE",N56&lt;&gt;"OWNED",N56&lt;&gt;"AUTHORIZED",N56&lt;&gt;"PUBLIC_DOMAIN"),U56="TRUE",V56="TRUE",AND(T56="TRUE",I56&lt;&gt;"TRUE")),"待人工复核","可导入")))))))</f>
        <v/>
      </c>
      <c r="B56" s="125" t="n"/>
      <c r="C56" s="125" t="n"/>
      <c r="D56" s="125" t="n"/>
      <c r="E56" s="125" t="n"/>
      <c r="F56" s="125" t="n"/>
      <c r="G56" s="126" t="n"/>
      <c r="H56" s="126" t="n"/>
      <c r="I56" s="126" t="n"/>
      <c r="J56" s="126" t="n"/>
      <c r="K56" s="125" t="n"/>
      <c r="L56" s="127" t="n"/>
      <c r="M56" s="127" t="n"/>
      <c r="N56" s="125" t="n"/>
      <c r="O56" s="125" t="n"/>
      <c r="P56" s="125" t="n"/>
      <c r="Q56" s="127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</row>
    <row r="57">
      <c r="A57" s="118">
        <f>IF(COUNTA(B57:Z57)=0,"待填写",IF(OR(B57="",AND(C57="",D57="",E57=""),F57="",G57="",H57="",I57="",J57="",N57="",O57="",P57="",Q57="",R57="",S57="",T57="",U57="",V57="",X57="",AND(OR(J57="SUPPLIER",J57="PLATFORM",J57="WEB"),L57="")),"请补全必填",IF(COUNTIF($B$5:$B$104,B57)&gt;1,"ID重复",IF(OR(AND(C57&lt;&gt;"",COUNTIF('水晶主数据'!$B$5:$B$54,C57)=0),AND(D57&lt;&gt;"",COUNTIF('珠子SKU'!$C$5:$C$104,D57)=0),AND(E57&lt;&gt;"",COUNTIF('库存批次'!$B$5:$B$104,E57)=0)),"关联不存在",IF(OR(ISNA(MATCH(H57,'_枚举'!$J$2:$J$8,0)),ISNA(MATCH(I57,'_枚举'!$C$2:$C$3,0)),ISNA(MATCH(J57,'_枚举'!$K$2:$K$6,0)),ISNA(MATCH(N57,'_枚举'!$L$2:$L$6,0)),ISNA(MATCH(O57,'_枚举'!$C$2:$C$3,0)),ISNA(MATCH(P57,'_枚举'!$C$2:$C$3,0)),ISNA(MATCH(Q57,'_枚举'!$C$2:$C$3,0)),ISNA(MATCH(R57,'_枚举'!$A$2:$A$4,0)),ISNA(MATCH(S57,'_枚举'!$B$2:$B$5,0)),ISNA(MATCH(T57,'_枚举'!$C$2:$C$3,0)),ISNA(MATCH(U57,'_枚举'!$C$2:$C$3,0)),ISNA(MATCH(V57,'_枚举'!$C$2:$C$3,0)),ISNA(MATCH(X57,'_枚举'!$M$2:$M$4,0))),"枚举错误",IF(AND(W57&lt;&gt;"",OR(LEN(W57)&lt;32,LEN(W57)&gt;128)),"格式错误",IF(OR(X57&lt;&gt;"PASSED",N57="UNKNOWN",AND(O57="TRUE",N57&lt;&gt;"OWNED",N57&lt;&gt;"AUTHORIZED",N57&lt;&gt;"PUBLIC_DOMAIN"),AND(P57="TRUE",N57&lt;&gt;"OWNED",N57&lt;&gt;"AUTHORIZED",N57&lt;&gt;"PUBLIC_DOMAIN"),U57="TRUE",V57="TRUE",AND(T57="TRUE",I57&lt;&gt;"TRUE")),"待人工复核","可导入")))))))</f>
        <v/>
      </c>
      <c r="B57" s="125" t="n"/>
      <c r="C57" s="125" t="n"/>
      <c r="D57" s="125" t="n"/>
      <c r="E57" s="125" t="n"/>
      <c r="F57" s="125" t="n"/>
      <c r="G57" s="126" t="n"/>
      <c r="H57" s="126" t="n"/>
      <c r="I57" s="126" t="n"/>
      <c r="J57" s="126" t="n"/>
      <c r="K57" s="125" t="n"/>
      <c r="L57" s="127" t="n"/>
      <c r="M57" s="127" t="n"/>
      <c r="N57" s="125" t="n"/>
      <c r="O57" s="125" t="n"/>
      <c r="P57" s="125" t="n"/>
      <c r="Q57" s="127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</row>
    <row r="58">
      <c r="A58" s="118">
        <f>IF(COUNTA(B58:Z58)=0,"待填写",IF(OR(B58="",AND(C58="",D58="",E58=""),F58="",G58="",H58="",I58="",J58="",N58="",O58="",P58="",Q58="",R58="",S58="",T58="",U58="",V58="",X58="",AND(OR(J58="SUPPLIER",J58="PLATFORM",J58="WEB"),L58="")),"请补全必填",IF(COUNTIF($B$5:$B$104,B58)&gt;1,"ID重复",IF(OR(AND(C58&lt;&gt;"",COUNTIF('水晶主数据'!$B$5:$B$54,C58)=0),AND(D58&lt;&gt;"",COUNTIF('珠子SKU'!$C$5:$C$104,D58)=0),AND(E58&lt;&gt;"",COUNTIF('库存批次'!$B$5:$B$104,E58)=0)),"关联不存在",IF(OR(ISNA(MATCH(H58,'_枚举'!$J$2:$J$8,0)),ISNA(MATCH(I58,'_枚举'!$C$2:$C$3,0)),ISNA(MATCH(J58,'_枚举'!$K$2:$K$6,0)),ISNA(MATCH(N58,'_枚举'!$L$2:$L$6,0)),ISNA(MATCH(O58,'_枚举'!$C$2:$C$3,0)),ISNA(MATCH(P58,'_枚举'!$C$2:$C$3,0)),ISNA(MATCH(Q58,'_枚举'!$C$2:$C$3,0)),ISNA(MATCH(R58,'_枚举'!$A$2:$A$4,0)),ISNA(MATCH(S58,'_枚举'!$B$2:$B$5,0)),ISNA(MATCH(T58,'_枚举'!$C$2:$C$3,0)),ISNA(MATCH(U58,'_枚举'!$C$2:$C$3,0)),ISNA(MATCH(V58,'_枚举'!$C$2:$C$3,0)),ISNA(MATCH(X58,'_枚举'!$M$2:$M$4,0))),"枚举错误",IF(AND(W58&lt;&gt;"",OR(LEN(W58)&lt;32,LEN(W58)&gt;128)),"格式错误",IF(OR(X58&lt;&gt;"PASSED",N58="UNKNOWN",AND(O58="TRUE",N58&lt;&gt;"OWNED",N58&lt;&gt;"AUTHORIZED",N58&lt;&gt;"PUBLIC_DOMAIN"),AND(P58="TRUE",N58&lt;&gt;"OWNED",N58&lt;&gt;"AUTHORIZED",N58&lt;&gt;"PUBLIC_DOMAIN"),U58="TRUE",V58="TRUE",AND(T58="TRUE",I58&lt;&gt;"TRUE")),"待人工复核","可导入")))))))</f>
        <v/>
      </c>
      <c r="B58" s="125" t="n"/>
      <c r="C58" s="125" t="n"/>
      <c r="D58" s="125" t="n"/>
      <c r="E58" s="125" t="n"/>
      <c r="F58" s="125" t="n"/>
      <c r="G58" s="126" t="n"/>
      <c r="H58" s="126" t="n"/>
      <c r="I58" s="126" t="n"/>
      <c r="J58" s="126" t="n"/>
      <c r="K58" s="125" t="n"/>
      <c r="L58" s="127" t="n"/>
      <c r="M58" s="127" t="n"/>
      <c r="N58" s="125" t="n"/>
      <c r="O58" s="125" t="n"/>
      <c r="P58" s="125" t="n"/>
      <c r="Q58" s="127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</row>
    <row r="59">
      <c r="A59" s="118">
        <f>IF(COUNTA(B59:Z59)=0,"待填写",IF(OR(B59="",AND(C59="",D59="",E59=""),F59="",G59="",H59="",I59="",J59="",N59="",O59="",P59="",Q59="",R59="",S59="",T59="",U59="",V59="",X59="",AND(OR(J59="SUPPLIER",J59="PLATFORM",J59="WEB"),L59="")),"请补全必填",IF(COUNTIF($B$5:$B$104,B59)&gt;1,"ID重复",IF(OR(AND(C59&lt;&gt;"",COUNTIF('水晶主数据'!$B$5:$B$54,C59)=0),AND(D59&lt;&gt;"",COUNTIF('珠子SKU'!$C$5:$C$104,D59)=0),AND(E59&lt;&gt;"",COUNTIF('库存批次'!$B$5:$B$104,E59)=0)),"关联不存在",IF(OR(ISNA(MATCH(H59,'_枚举'!$J$2:$J$8,0)),ISNA(MATCH(I59,'_枚举'!$C$2:$C$3,0)),ISNA(MATCH(J59,'_枚举'!$K$2:$K$6,0)),ISNA(MATCH(N59,'_枚举'!$L$2:$L$6,0)),ISNA(MATCH(O59,'_枚举'!$C$2:$C$3,0)),ISNA(MATCH(P59,'_枚举'!$C$2:$C$3,0)),ISNA(MATCH(Q59,'_枚举'!$C$2:$C$3,0)),ISNA(MATCH(R59,'_枚举'!$A$2:$A$4,0)),ISNA(MATCH(S59,'_枚举'!$B$2:$B$5,0)),ISNA(MATCH(T59,'_枚举'!$C$2:$C$3,0)),ISNA(MATCH(U59,'_枚举'!$C$2:$C$3,0)),ISNA(MATCH(V59,'_枚举'!$C$2:$C$3,0)),ISNA(MATCH(X59,'_枚举'!$M$2:$M$4,0))),"枚举错误",IF(AND(W59&lt;&gt;"",OR(LEN(W59)&lt;32,LEN(W59)&gt;128)),"格式错误",IF(OR(X59&lt;&gt;"PASSED",N59="UNKNOWN",AND(O59="TRUE",N59&lt;&gt;"OWNED",N59&lt;&gt;"AUTHORIZED",N59&lt;&gt;"PUBLIC_DOMAIN"),AND(P59="TRUE",N59&lt;&gt;"OWNED",N59&lt;&gt;"AUTHORIZED",N59&lt;&gt;"PUBLIC_DOMAIN"),U59="TRUE",V59="TRUE",AND(T59="TRUE",I59&lt;&gt;"TRUE")),"待人工复核","可导入")))))))</f>
        <v/>
      </c>
      <c r="B59" s="125" t="n"/>
      <c r="C59" s="125" t="n"/>
      <c r="D59" s="125" t="n"/>
      <c r="E59" s="125" t="n"/>
      <c r="F59" s="125" t="n"/>
      <c r="G59" s="126" t="n"/>
      <c r="H59" s="126" t="n"/>
      <c r="I59" s="126" t="n"/>
      <c r="J59" s="126" t="n"/>
      <c r="K59" s="125" t="n"/>
      <c r="L59" s="127" t="n"/>
      <c r="M59" s="127" t="n"/>
      <c r="N59" s="125" t="n"/>
      <c r="O59" s="125" t="n"/>
      <c r="P59" s="125" t="n"/>
      <c r="Q59" s="127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</row>
    <row r="60">
      <c r="A60" s="118">
        <f>IF(COUNTA(B60:Z60)=0,"待填写",IF(OR(B60="",AND(C60="",D60="",E60=""),F60="",G60="",H60="",I60="",J60="",N60="",O60="",P60="",Q60="",R60="",S60="",T60="",U60="",V60="",X60="",AND(OR(J60="SUPPLIER",J60="PLATFORM",J60="WEB"),L60="")),"请补全必填",IF(COUNTIF($B$5:$B$104,B60)&gt;1,"ID重复",IF(OR(AND(C60&lt;&gt;"",COUNTIF('水晶主数据'!$B$5:$B$54,C60)=0),AND(D60&lt;&gt;"",COUNTIF('珠子SKU'!$C$5:$C$104,D60)=0),AND(E60&lt;&gt;"",COUNTIF('库存批次'!$B$5:$B$104,E60)=0)),"关联不存在",IF(OR(ISNA(MATCH(H60,'_枚举'!$J$2:$J$8,0)),ISNA(MATCH(I60,'_枚举'!$C$2:$C$3,0)),ISNA(MATCH(J60,'_枚举'!$K$2:$K$6,0)),ISNA(MATCH(N60,'_枚举'!$L$2:$L$6,0)),ISNA(MATCH(O60,'_枚举'!$C$2:$C$3,0)),ISNA(MATCH(P60,'_枚举'!$C$2:$C$3,0)),ISNA(MATCH(Q60,'_枚举'!$C$2:$C$3,0)),ISNA(MATCH(R60,'_枚举'!$A$2:$A$4,0)),ISNA(MATCH(S60,'_枚举'!$B$2:$B$5,0)),ISNA(MATCH(T60,'_枚举'!$C$2:$C$3,0)),ISNA(MATCH(U60,'_枚举'!$C$2:$C$3,0)),ISNA(MATCH(V60,'_枚举'!$C$2:$C$3,0)),ISNA(MATCH(X60,'_枚举'!$M$2:$M$4,0))),"枚举错误",IF(AND(W60&lt;&gt;"",OR(LEN(W60)&lt;32,LEN(W60)&gt;128)),"格式错误",IF(OR(X60&lt;&gt;"PASSED",N60="UNKNOWN",AND(O60="TRUE",N60&lt;&gt;"OWNED",N60&lt;&gt;"AUTHORIZED",N60&lt;&gt;"PUBLIC_DOMAIN"),AND(P60="TRUE",N60&lt;&gt;"OWNED",N60&lt;&gt;"AUTHORIZED",N60&lt;&gt;"PUBLIC_DOMAIN"),U60="TRUE",V60="TRUE",AND(T60="TRUE",I60&lt;&gt;"TRUE")),"待人工复核","可导入")))))))</f>
        <v/>
      </c>
      <c r="B60" s="125" t="n"/>
      <c r="C60" s="125" t="n"/>
      <c r="D60" s="125" t="n"/>
      <c r="E60" s="125" t="n"/>
      <c r="F60" s="125" t="n"/>
      <c r="G60" s="126" t="n"/>
      <c r="H60" s="126" t="n"/>
      <c r="I60" s="126" t="n"/>
      <c r="J60" s="126" t="n"/>
      <c r="K60" s="125" t="n"/>
      <c r="L60" s="127" t="n"/>
      <c r="M60" s="127" t="n"/>
      <c r="N60" s="125" t="n"/>
      <c r="O60" s="125" t="n"/>
      <c r="P60" s="125" t="n"/>
      <c r="Q60" s="127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</row>
    <row r="61">
      <c r="A61" s="118">
        <f>IF(COUNTA(B61:Z61)=0,"待填写",IF(OR(B61="",AND(C61="",D61="",E61=""),F61="",G61="",H61="",I61="",J61="",N61="",O61="",P61="",Q61="",R61="",S61="",T61="",U61="",V61="",X61="",AND(OR(J61="SUPPLIER",J61="PLATFORM",J61="WEB"),L61="")),"请补全必填",IF(COUNTIF($B$5:$B$104,B61)&gt;1,"ID重复",IF(OR(AND(C61&lt;&gt;"",COUNTIF('水晶主数据'!$B$5:$B$54,C61)=0),AND(D61&lt;&gt;"",COUNTIF('珠子SKU'!$C$5:$C$104,D61)=0),AND(E61&lt;&gt;"",COUNTIF('库存批次'!$B$5:$B$104,E61)=0)),"关联不存在",IF(OR(ISNA(MATCH(H61,'_枚举'!$J$2:$J$8,0)),ISNA(MATCH(I61,'_枚举'!$C$2:$C$3,0)),ISNA(MATCH(J61,'_枚举'!$K$2:$K$6,0)),ISNA(MATCH(N61,'_枚举'!$L$2:$L$6,0)),ISNA(MATCH(O61,'_枚举'!$C$2:$C$3,0)),ISNA(MATCH(P61,'_枚举'!$C$2:$C$3,0)),ISNA(MATCH(Q61,'_枚举'!$C$2:$C$3,0)),ISNA(MATCH(R61,'_枚举'!$A$2:$A$4,0)),ISNA(MATCH(S61,'_枚举'!$B$2:$B$5,0)),ISNA(MATCH(T61,'_枚举'!$C$2:$C$3,0)),ISNA(MATCH(U61,'_枚举'!$C$2:$C$3,0)),ISNA(MATCH(V61,'_枚举'!$C$2:$C$3,0)),ISNA(MATCH(X61,'_枚举'!$M$2:$M$4,0))),"枚举错误",IF(AND(W61&lt;&gt;"",OR(LEN(W61)&lt;32,LEN(W61)&gt;128)),"格式错误",IF(OR(X61&lt;&gt;"PASSED",N61="UNKNOWN",AND(O61="TRUE",N61&lt;&gt;"OWNED",N61&lt;&gt;"AUTHORIZED",N61&lt;&gt;"PUBLIC_DOMAIN"),AND(P61="TRUE",N61&lt;&gt;"OWNED",N61&lt;&gt;"AUTHORIZED",N61&lt;&gt;"PUBLIC_DOMAIN"),U61="TRUE",V61="TRUE",AND(T61="TRUE",I61&lt;&gt;"TRUE")),"待人工复核","可导入")))))))</f>
        <v/>
      </c>
      <c r="B61" s="125" t="n"/>
      <c r="C61" s="125" t="n"/>
      <c r="D61" s="125" t="n"/>
      <c r="E61" s="125" t="n"/>
      <c r="F61" s="125" t="n"/>
      <c r="G61" s="126" t="n"/>
      <c r="H61" s="126" t="n"/>
      <c r="I61" s="126" t="n"/>
      <c r="J61" s="126" t="n"/>
      <c r="K61" s="125" t="n"/>
      <c r="L61" s="127" t="n"/>
      <c r="M61" s="127" t="n"/>
      <c r="N61" s="125" t="n"/>
      <c r="O61" s="125" t="n"/>
      <c r="P61" s="125" t="n"/>
      <c r="Q61" s="127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</row>
    <row r="62">
      <c r="A62" s="118">
        <f>IF(COUNTA(B62:Z62)=0,"待填写",IF(OR(B62="",AND(C62="",D62="",E62=""),F62="",G62="",H62="",I62="",J62="",N62="",O62="",P62="",Q62="",R62="",S62="",T62="",U62="",V62="",X62="",AND(OR(J62="SUPPLIER",J62="PLATFORM",J62="WEB"),L62="")),"请补全必填",IF(COUNTIF($B$5:$B$104,B62)&gt;1,"ID重复",IF(OR(AND(C62&lt;&gt;"",COUNTIF('水晶主数据'!$B$5:$B$54,C62)=0),AND(D62&lt;&gt;"",COUNTIF('珠子SKU'!$C$5:$C$104,D62)=0),AND(E62&lt;&gt;"",COUNTIF('库存批次'!$B$5:$B$104,E62)=0)),"关联不存在",IF(OR(ISNA(MATCH(H62,'_枚举'!$J$2:$J$8,0)),ISNA(MATCH(I62,'_枚举'!$C$2:$C$3,0)),ISNA(MATCH(J62,'_枚举'!$K$2:$K$6,0)),ISNA(MATCH(N62,'_枚举'!$L$2:$L$6,0)),ISNA(MATCH(O62,'_枚举'!$C$2:$C$3,0)),ISNA(MATCH(P62,'_枚举'!$C$2:$C$3,0)),ISNA(MATCH(Q62,'_枚举'!$C$2:$C$3,0)),ISNA(MATCH(R62,'_枚举'!$A$2:$A$4,0)),ISNA(MATCH(S62,'_枚举'!$B$2:$B$5,0)),ISNA(MATCH(T62,'_枚举'!$C$2:$C$3,0)),ISNA(MATCH(U62,'_枚举'!$C$2:$C$3,0)),ISNA(MATCH(V62,'_枚举'!$C$2:$C$3,0)),ISNA(MATCH(X62,'_枚举'!$M$2:$M$4,0))),"枚举错误",IF(AND(W62&lt;&gt;"",OR(LEN(W62)&lt;32,LEN(W62)&gt;128)),"格式错误",IF(OR(X62&lt;&gt;"PASSED",N62="UNKNOWN",AND(O62="TRUE",N62&lt;&gt;"OWNED",N62&lt;&gt;"AUTHORIZED",N62&lt;&gt;"PUBLIC_DOMAIN"),AND(P62="TRUE",N62&lt;&gt;"OWNED",N62&lt;&gt;"AUTHORIZED",N62&lt;&gt;"PUBLIC_DOMAIN"),U62="TRUE",V62="TRUE",AND(T62="TRUE",I62&lt;&gt;"TRUE")),"待人工复核","可导入")))))))</f>
        <v/>
      </c>
      <c r="B62" s="125" t="n"/>
      <c r="C62" s="125" t="n"/>
      <c r="D62" s="125" t="n"/>
      <c r="E62" s="125" t="n"/>
      <c r="F62" s="125" t="n"/>
      <c r="G62" s="126" t="n"/>
      <c r="H62" s="126" t="n"/>
      <c r="I62" s="126" t="n"/>
      <c r="J62" s="126" t="n"/>
      <c r="K62" s="125" t="n"/>
      <c r="L62" s="127" t="n"/>
      <c r="M62" s="127" t="n"/>
      <c r="N62" s="125" t="n"/>
      <c r="O62" s="125" t="n"/>
      <c r="P62" s="125" t="n"/>
      <c r="Q62" s="127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</row>
    <row r="63">
      <c r="A63" s="118">
        <f>IF(COUNTA(B63:Z63)=0,"待填写",IF(OR(B63="",AND(C63="",D63="",E63=""),F63="",G63="",H63="",I63="",J63="",N63="",O63="",P63="",Q63="",R63="",S63="",T63="",U63="",V63="",X63="",AND(OR(J63="SUPPLIER",J63="PLATFORM",J63="WEB"),L63="")),"请补全必填",IF(COUNTIF($B$5:$B$104,B63)&gt;1,"ID重复",IF(OR(AND(C63&lt;&gt;"",COUNTIF('水晶主数据'!$B$5:$B$54,C63)=0),AND(D63&lt;&gt;"",COUNTIF('珠子SKU'!$C$5:$C$104,D63)=0),AND(E63&lt;&gt;"",COUNTIF('库存批次'!$B$5:$B$104,E63)=0)),"关联不存在",IF(OR(ISNA(MATCH(H63,'_枚举'!$J$2:$J$8,0)),ISNA(MATCH(I63,'_枚举'!$C$2:$C$3,0)),ISNA(MATCH(J63,'_枚举'!$K$2:$K$6,0)),ISNA(MATCH(N63,'_枚举'!$L$2:$L$6,0)),ISNA(MATCH(O63,'_枚举'!$C$2:$C$3,0)),ISNA(MATCH(P63,'_枚举'!$C$2:$C$3,0)),ISNA(MATCH(Q63,'_枚举'!$C$2:$C$3,0)),ISNA(MATCH(R63,'_枚举'!$A$2:$A$4,0)),ISNA(MATCH(S63,'_枚举'!$B$2:$B$5,0)),ISNA(MATCH(T63,'_枚举'!$C$2:$C$3,0)),ISNA(MATCH(U63,'_枚举'!$C$2:$C$3,0)),ISNA(MATCH(V63,'_枚举'!$C$2:$C$3,0)),ISNA(MATCH(X63,'_枚举'!$M$2:$M$4,0))),"枚举错误",IF(AND(W63&lt;&gt;"",OR(LEN(W63)&lt;32,LEN(W63)&gt;128)),"格式错误",IF(OR(X63&lt;&gt;"PASSED",N63="UNKNOWN",AND(O63="TRUE",N63&lt;&gt;"OWNED",N63&lt;&gt;"AUTHORIZED",N63&lt;&gt;"PUBLIC_DOMAIN"),AND(P63="TRUE",N63&lt;&gt;"OWNED",N63&lt;&gt;"AUTHORIZED",N63&lt;&gt;"PUBLIC_DOMAIN"),U63="TRUE",V63="TRUE",AND(T63="TRUE",I63&lt;&gt;"TRUE")),"待人工复核","可导入")))))))</f>
        <v/>
      </c>
      <c r="B63" s="125" t="n"/>
      <c r="C63" s="125" t="n"/>
      <c r="D63" s="125" t="n"/>
      <c r="E63" s="125" t="n"/>
      <c r="F63" s="125" t="n"/>
      <c r="G63" s="126" t="n"/>
      <c r="H63" s="126" t="n"/>
      <c r="I63" s="126" t="n"/>
      <c r="J63" s="126" t="n"/>
      <c r="K63" s="125" t="n"/>
      <c r="L63" s="127" t="n"/>
      <c r="M63" s="127" t="n"/>
      <c r="N63" s="125" t="n"/>
      <c r="O63" s="125" t="n"/>
      <c r="P63" s="125" t="n"/>
      <c r="Q63" s="127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</row>
    <row r="64">
      <c r="A64" s="118">
        <f>IF(COUNTA(B64:Z64)=0,"待填写",IF(OR(B64="",AND(C64="",D64="",E64=""),F64="",G64="",H64="",I64="",J64="",N64="",O64="",P64="",Q64="",R64="",S64="",T64="",U64="",V64="",X64="",AND(OR(J64="SUPPLIER",J64="PLATFORM",J64="WEB"),L64="")),"请补全必填",IF(COUNTIF($B$5:$B$104,B64)&gt;1,"ID重复",IF(OR(AND(C64&lt;&gt;"",COUNTIF('水晶主数据'!$B$5:$B$54,C64)=0),AND(D64&lt;&gt;"",COUNTIF('珠子SKU'!$C$5:$C$104,D64)=0),AND(E64&lt;&gt;"",COUNTIF('库存批次'!$B$5:$B$104,E64)=0)),"关联不存在",IF(OR(ISNA(MATCH(H64,'_枚举'!$J$2:$J$8,0)),ISNA(MATCH(I64,'_枚举'!$C$2:$C$3,0)),ISNA(MATCH(J64,'_枚举'!$K$2:$K$6,0)),ISNA(MATCH(N64,'_枚举'!$L$2:$L$6,0)),ISNA(MATCH(O64,'_枚举'!$C$2:$C$3,0)),ISNA(MATCH(P64,'_枚举'!$C$2:$C$3,0)),ISNA(MATCH(Q64,'_枚举'!$C$2:$C$3,0)),ISNA(MATCH(R64,'_枚举'!$A$2:$A$4,0)),ISNA(MATCH(S64,'_枚举'!$B$2:$B$5,0)),ISNA(MATCH(T64,'_枚举'!$C$2:$C$3,0)),ISNA(MATCH(U64,'_枚举'!$C$2:$C$3,0)),ISNA(MATCH(V64,'_枚举'!$C$2:$C$3,0)),ISNA(MATCH(X64,'_枚举'!$M$2:$M$4,0))),"枚举错误",IF(AND(W64&lt;&gt;"",OR(LEN(W64)&lt;32,LEN(W64)&gt;128)),"格式错误",IF(OR(X64&lt;&gt;"PASSED",N64="UNKNOWN",AND(O64="TRUE",N64&lt;&gt;"OWNED",N64&lt;&gt;"AUTHORIZED",N64&lt;&gt;"PUBLIC_DOMAIN"),AND(P64="TRUE",N64&lt;&gt;"OWNED",N64&lt;&gt;"AUTHORIZED",N64&lt;&gt;"PUBLIC_DOMAIN"),U64="TRUE",V64="TRUE",AND(T64="TRUE",I64&lt;&gt;"TRUE")),"待人工复核","可导入")))))))</f>
        <v/>
      </c>
      <c r="B64" s="125" t="n"/>
      <c r="C64" s="125" t="n"/>
      <c r="D64" s="125" t="n"/>
      <c r="E64" s="125" t="n"/>
      <c r="F64" s="125" t="n"/>
      <c r="G64" s="126" t="n"/>
      <c r="H64" s="126" t="n"/>
      <c r="I64" s="126" t="n"/>
      <c r="J64" s="126" t="n"/>
      <c r="K64" s="125" t="n"/>
      <c r="L64" s="127" t="n"/>
      <c r="M64" s="127" t="n"/>
      <c r="N64" s="125" t="n"/>
      <c r="O64" s="125" t="n"/>
      <c r="P64" s="125" t="n"/>
      <c r="Q64" s="127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</row>
    <row r="65">
      <c r="A65" s="118">
        <f>IF(COUNTA(B65:Z65)=0,"待填写",IF(OR(B65="",AND(C65="",D65="",E65=""),F65="",G65="",H65="",I65="",J65="",N65="",O65="",P65="",Q65="",R65="",S65="",T65="",U65="",V65="",X65="",AND(OR(J65="SUPPLIER",J65="PLATFORM",J65="WEB"),L65="")),"请补全必填",IF(COUNTIF($B$5:$B$104,B65)&gt;1,"ID重复",IF(OR(AND(C65&lt;&gt;"",COUNTIF('水晶主数据'!$B$5:$B$54,C65)=0),AND(D65&lt;&gt;"",COUNTIF('珠子SKU'!$C$5:$C$104,D65)=0),AND(E65&lt;&gt;"",COUNTIF('库存批次'!$B$5:$B$104,E65)=0)),"关联不存在",IF(OR(ISNA(MATCH(H65,'_枚举'!$J$2:$J$8,0)),ISNA(MATCH(I65,'_枚举'!$C$2:$C$3,0)),ISNA(MATCH(J65,'_枚举'!$K$2:$K$6,0)),ISNA(MATCH(N65,'_枚举'!$L$2:$L$6,0)),ISNA(MATCH(O65,'_枚举'!$C$2:$C$3,0)),ISNA(MATCH(P65,'_枚举'!$C$2:$C$3,0)),ISNA(MATCH(Q65,'_枚举'!$C$2:$C$3,0)),ISNA(MATCH(R65,'_枚举'!$A$2:$A$4,0)),ISNA(MATCH(S65,'_枚举'!$B$2:$B$5,0)),ISNA(MATCH(T65,'_枚举'!$C$2:$C$3,0)),ISNA(MATCH(U65,'_枚举'!$C$2:$C$3,0)),ISNA(MATCH(V65,'_枚举'!$C$2:$C$3,0)),ISNA(MATCH(X65,'_枚举'!$M$2:$M$4,0))),"枚举错误",IF(AND(W65&lt;&gt;"",OR(LEN(W65)&lt;32,LEN(W65)&gt;128)),"格式错误",IF(OR(X65&lt;&gt;"PASSED",N65="UNKNOWN",AND(O65="TRUE",N65&lt;&gt;"OWNED",N65&lt;&gt;"AUTHORIZED",N65&lt;&gt;"PUBLIC_DOMAIN"),AND(P65="TRUE",N65&lt;&gt;"OWNED",N65&lt;&gt;"AUTHORIZED",N65&lt;&gt;"PUBLIC_DOMAIN"),U65="TRUE",V65="TRUE",AND(T65="TRUE",I65&lt;&gt;"TRUE")),"待人工复核","可导入")))))))</f>
        <v/>
      </c>
      <c r="B65" s="125" t="n"/>
      <c r="C65" s="125" t="n"/>
      <c r="D65" s="125" t="n"/>
      <c r="E65" s="125" t="n"/>
      <c r="F65" s="125" t="n"/>
      <c r="G65" s="126" t="n"/>
      <c r="H65" s="126" t="n"/>
      <c r="I65" s="126" t="n"/>
      <c r="J65" s="126" t="n"/>
      <c r="K65" s="125" t="n"/>
      <c r="L65" s="127" t="n"/>
      <c r="M65" s="127" t="n"/>
      <c r="N65" s="125" t="n"/>
      <c r="O65" s="125" t="n"/>
      <c r="P65" s="125" t="n"/>
      <c r="Q65" s="127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</row>
    <row r="66">
      <c r="A66" s="118">
        <f>IF(COUNTA(B66:Z66)=0,"待填写",IF(OR(B66="",AND(C66="",D66="",E66=""),F66="",G66="",H66="",I66="",J66="",N66="",O66="",P66="",Q66="",R66="",S66="",T66="",U66="",V66="",X66="",AND(OR(J66="SUPPLIER",J66="PLATFORM",J66="WEB"),L66="")),"请补全必填",IF(COUNTIF($B$5:$B$104,B66)&gt;1,"ID重复",IF(OR(AND(C66&lt;&gt;"",COUNTIF('水晶主数据'!$B$5:$B$54,C66)=0),AND(D66&lt;&gt;"",COUNTIF('珠子SKU'!$C$5:$C$104,D66)=0),AND(E66&lt;&gt;"",COUNTIF('库存批次'!$B$5:$B$104,E66)=0)),"关联不存在",IF(OR(ISNA(MATCH(H66,'_枚举'!$J$2:$J$8,0)),ISNA(MATCH(I66,'_枚举'!$C$2:$C$3,0)),ISNA(MATCH(J66,'_枚举'!$K$2:$K$6,0)),ISNA(MATCH(N66,'_枚举'!$L$2:$L$6,0)),ISNA(MATCH(O66,'_枚举'!$C$2:$C$3,0)),ISNA(MATCH(P66,'_枚举'!$C$2:$C$3,0)),ISNA(MATCH(Q66,'_枚举'!$C$2:$C$3,0)),ISNA(MATCH(R66,'_枚举'!$A$2:$A$4,0)),ISNA(MATCH(S66,'_枚举'!$B$2:$B$5,0)),ISNA(MATCH(T66,'_枚举'!$C$2:$C$3,0)),ISNA(MATCH(U66,'_枚举'!$C$2:$C$3,0)),ISNA(MATCH(V66,'_枚举'!$C$2:$C$3,0)),ISNA(MATCH(X66,'_枚举'!$M$2:$M$4,0))),"枚举错误",IF(AND(W66&lt;&gt;"",OR(LEN(W66)&lt;32,LEN(W66)&gt;128)),"格式错误",IF(OR(X66&lt;&gt;"PASSED",N66="UNKNOWN",AND(O66="TRUE",N66&lt;&gt;"OWNED",N66&lt;&gt;"AUTHORIZED",N66&lt;&gt;"PUBLIC_DOMAIN"),AND(P66="TRUE",N66&lt;&gt;"OWNED",N66&lt;&gt;"AUTHORIZED",N66&lt;&gt;"PUBLIC_DOMAIN"),U66="TRUE",V66="TRUE",AND(T66="TRUE",I66&lt;&gt;"TRUE")),"待人工复核","可导入")))))))</f>
        <v/>
      </c>
      <c r="B66" s="125" t="n"/>
      <c r="C66" s="125" t="n"/>
      <c r="D66" s="125" t="n"/>
      <c r="E66" s="125" t="n"/>
      <c r="F66" s="125" t="n"/>
      <c r="G66" s="126" t="n"/>
      <c r="H66" s="126" t="n"/>
      <c r="I66" s="126" t="n"/>
      <c r="J66" s="126" t="n"/>
      <c r="K66" s="125" t="n"/>
      <c r="L66" s="127" t="n"/>
      <c r="M66" s="127" t="n"/>
      <c r="N66" s="125" t="n"/>
      <c r="O66" s="125" t="n"/>
      <c r="P66" s="125" t="n"/>
      <c r="Q66" s="127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</row>
    <row r="67">
      <c r="A67" s="118">
        <f>IF(COUNTA(B67:Z67)=0,"待填写",IF(OR(B67="",AND(C67="",D67="",E67=""),F67="",G67="",H67="",I67="",J67="",N67="",O67="",P67="",Q67="",R67="",S67="",T67="",U67="",V67="",X67="",AND(OR(J67="SUPPLIER",J67="PLATFORM",J67="WEB"),L67="")),"请补全必填",IF(COUNTIF($B$5:$B$104,B67)&gt;1,"ID重复",IF(OR(AND(C67&lt;&gt;"",COUNTIF('水晶主数据'!$B$5:$B$54,C67)=0),AND(D67&lt;&gt;"",COUNTIF('珠子SKU'!$C$5:$C$104,D67)=0),AND(E67&lt;&gt;"",COUNTIF('库存批次'!$B$5:$B$104,E67)=0)),"关联不存在",IF(OR(ISNA(MATCH(H67,'_枚举'!$J$2:$J$8,0)),ISNA(MATCH(I67,'_枚举'!$C$2:$C$3,0)),ISNA(MATCH(J67,'_枚举'!$K$2:$K$6,0)),ISNA(MATCH(N67,'_枚举'!$L$2:$L$6,0)),ISNA(MATCH(O67,'_枚举'!$C$2:$C$3,0)),ISNA(MATCH(P67,'_枚举'!$C$2:$C$3,0)),ISNA(MATCH(Q67,'_枚举'!$C$2:$C$3,0)),ISNA(MATCH(R67,'_枚举'!$A$2:$A$4,0)),ISNA(MATCH(S67,'_枚举'!$B$2:$B$5,0)),ISNA(MATCH(T67,'_枚举'!$C$2:$C$3,0)),ISNA(MATCH(U67,'_枚举'!$C$2:$C$3,0)),ISNA(MATCH(V67,'_枚举'!$C$2:$C$3,0)),ISNA(MATCH(X67,'_枚举'!$M$2:$M$4,0))),"枚举错误",IF(AND(W67&lt;&gt;"",OR(LEN(W67)&lt;32,LEN(W67)&gt;128)),"格式错误",IF(OR(X67&lt;&gt;"PASSED",N67="UNKNOWN",AND(O67="TRUE",N67&lt;&gt;"OWNED",N67&lt;&gt;"AUTHORIZED",N67&lt;&gt;"PUBLIC_DOMAIN"),AND(P67="TRUE",N67&lt;&gt;"OWNED",N67&lt;&gt;"AUTHORIZED",N67&lt;&gt;"PUBLIC_DOMAIN"),U67="TRUE",V67="TRUE",AND(T67="TRUE",I67&lt;&gt;"TRUE")),"待人工复核","可导入")))))))</f>
        <v/>
      </c>
      <c r="B67" s="125" t="n"/>
      <c r="C67" s="125" t="n"/>
      <c r="D67" s="125" t="n"/>
      <c r="E67" s="125" t="n"/>
      <c r="F67" s="125" t="n"/>
      <c r="G67" s="126" t="n"/>
      <c r="H67" s="126" t="n"/>
      <c r="I67" s="126" t="n"/>
      <c r="J67" s="126" t="n"/>
      <c r="K67" s="125" t="n"/>
      <c r="L67" s="127" t="n"/>
      <c r="M67" s="127" t="n"/>
      <c r="N67" s="125" t="n"/>
      <c r="O67" s="125" t="n"/>
      <c r="P67" s="125" t="n"/>
      <c r="Q67" s="127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</row>
    <row r="68">
      <c r="A68" s="118">
        <f>IF(COUNTA(B68:Z68)=0,"待填写",IF(OR(B68="",AND(C68="",D68="",E68=""),F68="",G68="",H68="",I68="",J68="",N68="",O68="",P68="",Q68="",R68="",S68="",T68="",U68="",V68="",X68="",AND(OR(J68="SUPPLIER",J68="PLATFORM",J68="WEB"),L68="")),"请补全必填",IF(COUNTIF($B$5:$B$104,B68)&gt;1,"ID重复",IF(OR(AND(C68&lt;&gt;"",COUNTIF('水晶主数据'!$B$5:$B$54,C68)=0),AND(D68&lt;&gt;"",COUNTIF('珠子SKU'!$C$5:$C$104,D68)=0),AND(E68&lt;&gt;"",COUNTIF('库存批次'!$B$5:$B$104,E68)=0)),"关联不存在",IF(OR(ISNA(MATCH(H68,'_枚举'!$J$2:$J$8,0)),ISNA(MATCH(I68,'_枚举'!$C$2:$C$3,0)),ISNA(MATCH(J68,'_枚举'!$K$2:$K$6,0)),ISNA(MATCH(N68,'_枚举'!$L$2:$L$6,0)),ISNA(MATCH(O68,'_枚举'!$C$2:$C$3,0)),ISNA(MATCH(P68,'_枚举'!$C$2:$C$3,0)),ISNA(MATCH(Q68,'_枚举'!$C$2:$C$3,0)),ISNA(MATCH(R68,'_枚举'!$A$2:$A$4,0)),ISNA(MATCH(S68,'_枚举'!$B$2:$B$5,0)),ISNA(MATCH(T68,'_枚举'!$C$2:$C$3,0)),ISNA(MATCH(U68,'_枚举'!$C$2:$C$3,0)),ISNA(MATCH(V68,'_枚举'!$C$2:$C$3,0)),ISNA(MATCH(X68,'_枚举'!$M$2:$M$4,0))),"枚举错误",IF(AND(W68&lt;&gt;"",OR(LEN(W68)&lt;32,LEN(W68)&gt;128)),"格式错误",IF(OR(X68&lt;&gt;"PASSED",N68="UNKNOWN",AND(O68="TRUE",N68&lt;&gt;"OWNED",N68&lt;&gt;"AUTHORIZED",N68&lt;&gt;"PUBLIC_DOMAIN"),AND(P68="TRUE",N68&lt;&gt;"OWNED",N68&lt;&gt;"AUTHORIZED",N68&lt;&gt;"PUBLIC_DOMAIN"),U68="TRUE",V68="TRUE",AND(T68="TRUE",I68&lt;&gt;"TRUE")),"待人工复核","可导入")))))))</f>
        <v/>
      </c>
      <c r="B68" s="125" t="n"/>
      <c r="C68" s="125" t="n"/>
      <c r="D68" s="125" t="n"/>
      <c r="E68" s="125" t="n"/>
      <c r="F68" s="125" t="n"/>
      <c r="G68" s="126" t="n"/>
      <c r="H68" s="126" t="n"/>
      <c r="I68" s="126" t="n"/>
      <c r="J68" s="126" t="n"/>
      <c r="K68" s="125" t="n"/>
      <c r="L68" s="127" t="n"/>
      <c r="M68" s="127" t="n"/>
      <c r="N68" s="125" t="n"/>
      <c r="O68" s="125" t="n"/>
      <c r="P68" s="125" t="n"/>
      <c r="Q68" s="127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</row>
    <row r="69">
      <c r="A69" s="118">
        <f>IF(COUNTA(B69:Z69)=0,"待填写",IF(OR(B69="",AND(C69="",D69="",E69=""),F69="",G69="",H69="",I69="",J69="",N69="",O69="",P69="",Q69="",R69="",S69="",T69="",U69="",V69="",X69="",AND(OR(J69="SUPPLIER",J69="PLATFORM",J69="WEB"),L69="")),"请补全必填",IF(COUNTIF($B$5:$B$104,B69)&gt;1,"ID重复",IF(OR(AND(C69&lt;&gt;"",COUNTIF('水晶主数据'!$B$5:$B$54,C69)=0),AND(D69&lt;&gt;"",COUNTIF('珠子SKU'!$C$5:$C$104,D69)=0),AND(E69&lt;&gt;"",COUNTIF('库存批次'!$B$5:$B$104,E69)=0)),"关联不存在",IF(OR(ISNA(MATCH(H69,'_枚举'!$J$2:$J$8,0)),ISNA(MATCH(I69,'_枚举'!$C$2:$C$3,0)),ISNA(MATCH(J69,'_枚举'!$K$2:$K$6,0)),ISNA(MATCH(N69,'_枚举'!$L$2:$L$6,0)),ISNA(MATCH(O69,'_枚举'!$C$2:$C$3,0)),ISNA(MATCH(P69,'_枚举'!$C$2:$C$3,0)),ISNA(MATCH(Q69,'_枚举'!$C$2:$C$3,0)),ISNA(MATCH(R69,'_枚举'!$A$2:$A$4,0)),ISNA(MATCH(S69,'_枚举'!$B$2:$B$5,0)),ISNA(MATCH(T69,'_枚举'!$C$2:$C$3,0)),ISNA(MATCH(U69,'_枚举'!$C$2:$C$3,0)),ISNA(MATCH(V69,'_枚举'!$C$2:$C$3,0)),ISNA(MATCH(X69,'_枚举'!$M$2:$M$4,0))),"枚举错误",IF(AND(W69&lt;&gt;"",OR(LEN(W69)&lt;32,LEN(W69)&gt;128)),"格式错误",IF(OR(X69&lt;&gt;"PASSED",N69="UNKNOWN",AND(O69="TRUE",N69&lt;&gt;"OWNED",N69&lt;&gt;"AUTHORIZED",N69&lt;&gt;"PUBLIC_DOMAIN"),AND(P69="TRUE",N69&lt;&gt;"OWNED",N69&lt;&gt;"AUTHORIZED",N69&lt;&gt;"PUBLIC_DOMAIN"),U69="TRUE",V69="TRUE",AND(T69="TRUE",I69&lt;&gt;"TRUE")),"待人工复核","可导入")))))))</f>
        <v/>
      </c>
      <c r="B69" s="125" t="n"/>
      <c r="C69" s="125" t="n"/>
      <c r="D69" s="125" t="n"/>
      <c r="E69" s="125" t="n"/>
      <c r="F69" s="125" t="n"/>
      <c r="G69" s="126" t="n"/>
      <c r="H69" s="126" t="n"/>
      <c r="I69" s="126" t="n"/>
      <c r="J69" s="126" t="n"/>
      <c r="K69" s="125" t="n"/>
      <c r="L69" s="127" t="n"/>
      <c r="M69" s="127" t="n"/>
      <c r="N69" s="125" t="n"/>
      <c r="O69" s="125" t="n"/>
      <c r="P69" s="125" t="n"/>
      <c r="Q69" s="127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</row>
    <row r="70">
      <c r="A70" s="118">
        <f>IF(COUNTA(B70:Z70)=0,"待填写",IF(OR(B70="",AND(C70="",D70="",E70=""),F70="",G70="",H70="",I70="",J70="",N70="",O70="",P70="",Q70="",R70="",S70="",T70="",U70="",V70="",X70="",AND(OR(J70="SUPPLIER",J70="PLATFORM",J70="WEB"),L70="")),"请补全必填",IF(COUNTIF($B$5:$B$104,B70)&gt;1,"ID重复",IF(OR(AND(C70&lt;&gt;"",COUNTIF('水晶主数据'!$B$5:$B$54,C70)=0),AND(D70&lt;&gt;"",COUNTIF('珠子SKU'!$C$5:$C$104,D70)=0),AND(E70&lt;&gt;"",COUNTIF('库存批次'!$B$5:$B$104,E70)=0)),"关联不存在",IF(OR(ISNA(MATCH(H70,'_枚举'!$J$2:$J$8,0)),ISNA(MATCH(I70,'_枚举'!$C$2:$C$3,0)),ISNA(MATCH(J70,'_枚举'!$K$2:$K$6,0)),ISNA(MATCH(N70,'_枚举'!$L$2:$L$6,0)),ISNA(MATCH(O70,'_枚举'!$C$2:$C$3,0)),ISNA(MATCH(P70,'_枚举'!$C$2:$C$3,0)),ISNA(MATCH(Q70,'_枚举'!$C$2:$C$3,0)),ISNA(MATCH(R70,'_枚举'!$A$2:$A$4,0)),ISNA(MATCH(S70,'_枚举'!$B$2:$B$5,0)),ISNA(MATCH(T70,'_枚举'!$C$2:$C$3,0)),ISNA(MATCH(U70,'_枚举'!$C$2:$C$3,0)),ISNA(MATCH(V70,'_枚举'!$C$2:$C$3,0)),ISNA(MATCH(X70,'_枚举'!$M$2:$M$4,0))),"枚举错误",IF(AND(W70&lt;&gt;"",OR(LEN(W70)&lt;32,LEN(W70)&gt;128)),"格式错误",IF(OR(X70&lt;&gt;"PASSED",N70="UNKNOWN",AND(O70="TRUE",N70&lt;&gt;"OWNED",N70&lt;&gt;"AUTHORIZED",N70&lt;&gt;"PUBLIC_DOMAIN"),AND(P70="TRUE",N70&lt;&gt;"OWNED",N70&lt;&gt;"AUTHORIZED",N70&lt;&gt;"PUBLIC_DOMAIN"),U70="TRUE",V70="TRUE",AND(T70="TRUE",I70&lt;&gt;"TRUE")),"待人工复核","可导入")))))))</f>
        <v/>
      </c>
      <c r="B70" s="125" t="n"/>
      <c r="C70" s="125" t="n"/>
      <c r="D70" s="125" t="n"/>
      <c r="E70" s="125" t="n"/>
      <c r="F70" s="125" t="n"/>
      <c r="G70" s="126" t="n"/>
      <c r="H70" s="126" t="n"/>
      <c r="I70" s="126" t="n"/>
      <c r="J70" s="126" t="n"/>
      <c r="K70" s="125" t="n"/>
      <c r="L70" s="127" t="n"/>
      <c r="M70" s="127" t="n"/>
      <c r="N70" s="125" t="n"/>
      <c r="O70" s="125" t="n"/>
      <c r="P70" s="125" t="n"/>
      <c r="Q70" s="127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</row>
    <row r="71">
      <c r="A71" s="118">
        <f>IF(COUNTA(B71:Z71)=0,"待填写",IF(OR(B71="",AND(C71="",D71="",E71=""),F71="",G71="",H71="",I71="",J71="",N71="",O71="",P71="",Q71="",R71="",S71="",T71="",U71="",V71="",X71="",AND(OR(J71="SUPPLIER",J71="PLATFORM",J71="WEB"),L71="")),"请补全必填",IF(COUNTIF($B$5:$B$104,B71)&gt;1,"ID重复",IF(OR(AND(C71&lt;&gt;"",COUNTIF('水晶主数据'!$B$5:$B$54,C71)=0),AND(D71&lt;&gt;"",COUNTIF('珠子SKU'!$C$5:$C$104,D71)=0),AND(E71&lt;&gt;"",COUNTIF('库存批次'!$B$5:$B$104,E71)=0)),"关联不存在",IF(OR(ISNA(MATCH(H71,'_枚举'!$J$2:$J$8,0)),ISNA(MATCH(I71,'_枚举'!$C$2:$C$3,0)),ISNA(MATCH(J71,'_枚举'!$K$2:$K$6,0)),ISNA(MATCH(N71,'_枚举'!$L$2:$L$6,0)),ISNA(MATCH(O71,'_枚举'!$C$2:$C$3,0)),ISNA(MATCH(P71,'_枚举'!$C$2:$C$3,0)),ISNA(MATCH(Q71,'_枚举'!$C$2:$C$3,0)),ISNA(MATCH(R71,'_枚举'!$A$2:$A$4,0)),ISNA(MATCH(S71,'_枚举'!$B$2:$B$5,0)),ISNA(MATCH(T71,'_枚举'!$C$2:$C$3,0)),ISNA(MATCH(U71,'_枚举'!$C$2:$C$3,0)),ISNA(MATCH(V71,'_枚举'!$C$2:$C$3,0)),ISNA(MATCH(X71,'_枚举'!$M$2:$M$4,0))),"枚举错误",IF(AND(W71&lt;&gt;"",OR(LEN(W71)&lt;32,LEN(W71)&gt;128)),"格式错误",IF(OR(X71&lt;&gt;"PASSED",N71="UNKNOWN",AND(O71="TRUE",N71&lt;&gt;"OWNED",N71&lt;&gt;"AUTHORIZED",N71&lt;&gt;"PUBLIC_DOMAIN"),AND(P71="TRUE",N71&lt;&gt;"OWNED",N71&lt;&gt;"AUTHORIZED",N71&lt;&gt;"PUBLIC_DOMAIN"),U71="TRUE",V71="TRUE",AND(T71="TRUE",I71&lt;&gt;"TRUE")),"待人工复核","可导入")))))))</f>
        <v/>
      </c>
      <c r="B71" s="125" t="n"/>
      <c r="C71" s="125" t="n"/>
      <c r="D71" s="125" t="n"/>
      <c r="E71" s="125" t="n"/>
      <c r="F71" s="125" t="n"/>
      <c r="G71" s="126" t="n"/>
      <c r="H71" s="126" t="n"/>
      <c r="I71" s="126" t="n"/>
      <c r="J71" s="126" t="n"/>
      <c r="K71" s="125" t="n"/>
      <c r="L71" s="127" t="n"/>
      <c r="M71" s="127" t="n"/>
      <c r="N71" s="125" t="n"/>
      <c r="O71" s="125" t="n"/>
      <c r="P71" s="125" t="n"/>
      <c r="Q71" s="127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</row>
    <row r="72">
      <c r="A72" s="118">
        <f>IF(COUNTA(B72:Z72)=0,"待填写",IF(OR(B72="",AND(C72="",D72="",E72=""),F72="",G72="",H72="",I72="",J72="",N72="",O72="",P72="",Q72="",R72="",S72="",T72="",U72="",V72="",X72="",AND(OR(J72="SUPPLIER",J72="PLATFORM",J72="WEB"),L72="")),"请补全必填",IF(COUNTIF($B$5:$B$104,B72)&gt;1,"ID重复",IF(OR(AND(C72&lt;&gt;"",COUNTIF('水晶主数据'!$B$5:$B$54,C72)=0),AND(D72&lt;&gt;"",COUNTIF('珠子SKU'!$C$5:$C$104,D72)=0),AND(E72&lt;&gt;"",COUNTIF('库存批次'!$B$5:$B$104,E72)=0)),"关联不存在",IF(OR(ISNA(MATCH(H72,'_枚举'!$J$2:$J$8,0)),ISNA(MATCH(I72,'_枚举'!$C$2:$C$3,0)),ISNA(MATCH(J72,'_枚举'!$K$2:$K$6,0)),ISNA(MATCH(N72,'_枚举'!$L$2:$L$6,0)),ISNA(MATCH(O72,'_枚举'!$C$2:$C$3,0)),ISNA(MATCH(P72,'_枚举'!$C$2:$C$3,0)),ISNA(MATCH(Q72,'_枚举'!$C$2:$C$3,0)),ISNA(MATCH(R72,'_枚举'!$A$2:$A$4,0)),ISNA(MATCH(S72,'_枚举'!$B$2:$B$5,0)),ISNA(MATCH(T72,'_枚举'!$C$2:$C$3,0)),ISNA(MATCH(U72,'_枚举'!$C$2:$C$3,0)),ISNA(MATCH(V72,'_枚举'!$C$2:$C$3,0)),ISNA(MATCH(X72,'_枚举'!$M$2:$M$4,0))),"枚举错误",IF(AND(W72&lt;&gt;"",OR(LEN(W72)&lt;32,LEN(W72)&gt;128)),"格式错误",IF(OR(X72&lt;&gt;"PASSED",N72="UNKNOWN",AND(O72="TRUE",N72&lt;&gt;"OWNED",N72&lt;&gt;"AUTHORIZED",N72&lt;&gt;"PUBLIC_DOMAIN"),AND(P72="TRUE",N72&lt;&gt;"OWNED",N72&lt;&gt;"AUTHORIZED",N72&lt;&gt;"PUBLIC_DOMAIN"),U72="TRUE",V72="TRUE",AND(T72="TRUE",I72&lt;&gt;"TRUE")),"待人工复核","可导入")))))))</f>
        <v/>
      </c>
      <c r="B72" s="125" t="n"/>
      <c r="C72" s="125" t="n"/>
      <c r="D72" s="125" t="n"/>
      <c r="E72" s="125" t="n"/>
      <c r="F72" s="125" t="n"/>
      <c r="G72" s="126" t="n"/>
      <c r="H72" s="126" t="n"/>
      <c r="I72" s="126" t="n"/>
      <c r="J72" s="126" t="n"/>
      <c r="K72" s="125" t="n"/>
      <c r="L72" s="127" t="n"/>
      <c r="M72" s="127" t="n"/>
      <c r="N72" s="125" t="n"/>
      <c r="O72" s="125" t="n"/>
      <c r="P72" s="125" t="n"/>
      <c r="Q72" s="127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</row>
    <row r="73">
      <c r="A73" s="118">
        <f>IF(COUNTA(B73:Z73)=0,"待填写",IF(OR(B73="",AND(C73="",D73="",E73=""),F73="",G73="",H73="",I73="",J73="",N73="",O73="",P73="",Q73="",R73="",S73="",T73="",U73="",V73="",X73="",AND(OR(J73="SUPPLIER",J73="PLATFORM",J73="WEB"),L73="")),"请补全必填",IF(COUNTIF($B$5:$B$104,B73)&gt;1,"ID重复",IF(OR(AND(C73&lt;&gt;"",COUNTIF('水晶主数据'!$B$5:$B$54,C73)=0),AND(D73&lt;&gt;"",COUNTIF('珠子SKU'!$C$5:$C$104,D73)=0),AND(E73&lt;&gt;"",COUNTIF('库存批次'!$B$5:$B$104,E73)=0)),"关联不存在",IF(OR(ISNA(MATCH(H73,'_枚举'!$J$2:$J$8,0)),ISNA(MATCH(I73,'_枚举'!$C$2:$C$3,0)),ISNA(MATCH(J73,'_枚举'!$K$2:$K$6,0)),ISNA(MATCH(N73,'_枚举'!$L$2:$L$6,0)),ISNA(MATCH(O73,'_枚举'!$C$2:$C$3,0)),ISNA(MATCH(P73,'_枚举'!$C$2:$C$3,0)),ISNA(MATCH(Q73,'_枚举'!$C$2:$C$3,0)),ISNA(MATCH(R73,'_枚举'!$A$2:$A$4,0)),ISNA(MATCH(S73,'_枚举'!$B$2:$B$5,0)),ISNA(MATCH(T73,'_枚举'!$C$2:$C$3,0)),ISNA(MATCH(U73,'_枚举'!$C$2:$C$3,0)),ISNA(MATCH(V73,'_枚举'!$C$2:$C$3,0)),ISNA(MATCH(X73,'_枚举'!$M$2:$M$4,0))),"枚举错误",IF(AND(W73&lt;&gt;"",OR(LEN(W73)&lt;32,LEN(W73)&gt;128)),"格式错误",IF(OR(X73&lt;&gt;"PASSED",N73="UNKNOWN",AND(O73="TRUE",N73&lt;&gt;"OWNED",N73&lt;&gt;"AUTHORIZED",N73&lt;&gt;"PUBLIC_DOMAIN"),AND(P73="TRUE",N73&lt;&gt;"OWNED",N73&lt;&gt;"AUTHORIZED",N73&lt;&gt;"PUBLIC_DOMAIN"),U73="TRUE",V73="TRUE",AND(T73="TRUE",I73&lt;&gt;"TRUE")),"待人工复核","可导入")))))))</f>
        <v/>
      </c>
      <c r="B73" s="125" t="n"/>
      <c r="C73" s="125" t="n"/>
      <c r="D73" s="125" t="n"/>
      <c r="E73" s="125" t="n"/>
      <c r="F73" s="125" t="n"/>
      <c r="G73" s="126" t="n"/>
      <c r="H73" s="126" t="n"/>
      <c r="I73" s="126" t="n"/>
      <c r="J73" s="126" t="n"/>
      <c r="K73" s="125" t="n"/>
      <c r="L73" s="127" t="n"/>
      <c r="M73" s="127" t="n"/>
      <c r="N73" s="125" t="n"/>
      <c r="O73" s="125" t="n"/>
      <c r="P73" s="125" t="n"/>
      <c r="Q73" s="127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</row>
    <row r="74">
      <c r="A74" s="118">
        <f>IF(COUNTA(B74:Z74)=0,"待填写",IF(OR(B74="",AND(C74="",D74="",E74=""),F74="",G74="",H74="",I74="",J74="",N74="",O74="",P74="",Q74="",R74="",S74="",T74="",U74="",V74="",X74="",AND(OR(J74="SUPPLIER",J74="PLATFORM",J74="WEB"),L74="")),"请补全必填",IF(COUNTIF($B$5:$B$104,B74)&gt;1,"ID重复",IF(OR(AND(C74&lt;&gt;"",COUNTIF('水晶主数据'!$B$5:$B$54,C74)=0),AND(D74&lt;&gt;"",COUNTIF('珠子SKU'!$C$5:$C$104,D74)=0),AND(E74&lt;&gt;"",COUNTIF('库存批次'!$B$5:$B$104,E74)=0)),"关联不存在",IF(OR(ISNA(MATCH(H74,'_枚举'!$J$2:$J$8,0)),ISNA(MATCH(I74,'_枚举'!$C$2:$C$3,0)),ISNA(MATCH(J74,'_枚举'!$K$2:$K$6,0)),ISNA(MATCH(N74,'_枚举'!$L$2:$L$6,0)),ISNA(MATCH(O74,'_枚举'!$C$2:$C$3,0)),ISNA(MATCH(P74,'_枚举'!$C$2:$C$3,0)),ISNA(MATCH(Q74,'_枚举'!$C$2:$C$3,0)),ISNA(MATCH(R74,'_枚举'!$A$2:$A$4,0)),ISNA(MATCH(S74,'_枚举'!$B$2:$B$5,0)),ISNA(MATCH(T74,'_枚举'!$C$2:$C$3,0)),ISNA(MATCH(U74,'_枚举'!$C$2:$C$3,0)),ISNA(MATCH(V74,'_枚举'!$C$2:$C$3,0)),ISNA(MATCH(X74,'_枚举'!$M$2:$M$4,0))),"枚举错误",IF(AND(W74&lt;&gt;"",OR(LEN(W74)&lt;32,LEN(W74)&gt;128)),"格式错误",IF(OR(X74&lt;&gt;"PASSED",N74="UNKNOWN",AND(O74="TRUE",N74&lt;&gt;"OWNED",N74&lt;&gt;"AUTHORIZED",N74&lt;&gt;"PUBLIC_DOMAIN"),AND(P74="TRUE",N74&lt;&gt;"OWNED",N74&lt;&gt;"AUTHORIZED",N74&lt;&gt;"PUBLIC_DOMAIN"),U74="TRUE",V74="TRUE",AND(T74="TRUE",I74&lt;&gt;"TRUE")),"待人工复核","可导入")))))))</f>
        <v/>
      </c>
      <c r="B74" s="125" t="n"/>
      <c r="C74" s="125" t="n"/>
      <c r="D74" s="125" t="n"/>
      <c r="E74" s="125" t="n"/>
      <c r="F74" s="125" t="n"/>
      <c r="G74" s="126" t="n"/>
      <c r="H74" s="126" t="n"/>
      <c r="I74" s="126" t="n"/>
      <c r="J74" s="126" t="n"/>
      <c r="K74" s="125" t="n"/>
      <c r="L74" s="127" t="n"/>
      <c r="M74" s="127" t="n"/>
      <c r="N74" s="125" t="n"/>
      <c r="O74" s="125" t="n"/>
      <c r="P74" s="125" t="n"/>
      <c r="Q74" s="127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</row>
    <row r="75">
      <c r="A75" s="118">
        <f>IF(COUNTA(B75:Z75)=0,"待填写",IF(OR(B75="",AND(C75="",D75="",E75=""),F75="",G75="",H75="",I75="",J75="",N75="",O75="",P75="",Q75="",R75="",S75="",T75="",U75="",V75="",X75="",AND(OR(J75="SUPPLIER",J75="PLATFORM",J75="WEB"),L75="")),"请补全必填",IF(COUNTIF($B$5:$B$104,B75)&gt;1,"ID重复",IF(OR(AND(C75&lt;&gt;"",COUNTIF('水晶主数据'!$B$5:$B$54,C75)=0),AND(D75&lt;&gt;"",COUNTIF('珠子SKU'!$C$5:$C$104,D75)=0),AND(E75&lt;&gt;"",COUNTIF('库存批次'!$B$5:$B$104,E75)=0)),"关联不存在",IF(OR(ISNA(MATCH(H75,'_枚举'!$J$2:$J$8,0)),ISNA(MATCH(I75,'_枚举'!$C$2:$C$3,0)),ISNA(MATCH(J75,'_枚举'!$K$2:$K$6,0)),ISNA(MATCH(N75,'_枚举'!$L$2:$L$6,0)),ISNA(MATCH(O75,'_枚举'!$C$2:$C$3,0)),ISNA(MATCH(P75,'_枚举'!$C$2:$C$3,0)),ISNA(MATCH(Q75,'_枚举'!$C$2:$C$3,0)),ISNA(MATCH(R75,'_枚举'!$A$2:$A$4,0)),ISNA(MATCH(S75,'_枚举'!$B$2:$B$5,0)),ISNA(MATCH(T75,'_枚举'!$C$2:$C$3,0)),ISNA(MATCH(U75,'_枚举'!$C$2:$C$3,0)),ISNA(MATCH(V75,'_枚举'!$C$2:$C$3,0)),ISNA(MATCH(X75,'_枚举'!$M$2:$M$4,0))),"枚举错误",IF(AND(W75&lt;&gt;"",OR(LEN(W75)&lt;32,LEN(W75)&gt;128)),"格式错误",IF(OR(X75&lt;&gt;"PASSED",N75="UNKNOWN",AND(O75="TRUE",N75&lt;&gt;"OWNED",N75&lt;&gt;"AUTHORIZED",N75&lt;&gt;"PUBLIC_DOMAIN"),AND(P75="TRUE",N75&lt;&gt;"OWNED",N75&lt;&gt;"AUTHORIZED",N75&lt;&gt;"PUBLIC_DOMAIN"),U75="TRUE",V75="TRUE",AND(T75="TRUE",I75&lt;&gt;"TRUE")),"待人工复核","可导入")))))))</f>
        <v/>
      </c>
      <c r="B75" s="125" t="n"/>
      <c r="C75" s="125" t="n"/>
      <c r="D75" s="125" t="n"/>
      <c r="E75" s="125" t="n"/>
      <c r="F75" s="125" t="n"/>
      <c r="G75" s="126" t="n"/>
      <c r="H75" s="126" t="n"/>
      <c r="I75" s="126" t="n"/>
      <c r="J75" s="126" t="n"/>
      <c r="K75" s="125" t="n"/>
      <c r="L75" s="127" t="n"/>
      <c r="M75" s="127" t="n"/>
      <c r="N75" s="125" t="n"/>
      <c r="O75" s="125" t="n"/>
      <c r="P75" s="125" t="n"/>
      <c r="Q75" s="127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</row>
    <row r="76">
      <c r="A76" s="118">
        <f>IF(COUNTA(B76:Z76)=0,"待填写",IF(OR(B76="",AND(C76="",D76="",E76=""),F76="",G76="",H76="",I76="",J76="",N76="",O76="",P76="",Q76="",R76="",S76="",T76="",U76="",V76="",X76="",AND(OR(J76="SUPPLIER",J76="PLATFORM",J76="WEB"),L76="")),"请补全必填",IF(COUNTIF($B$5:$B$104,B76)&gt;1,"ID重复",IF(OR(AND(C76&lt;&gt;"",COUNTIF('水晶主数据'!$B$5:$B$54,C76)=0),AND(D76&lt;&gt;"",COUNTIF('珠子SKU'!$C$5:$C$104,D76)=0),AND(E76&lt;&gt;"",COUNTIF('库存批次'!$B$5:$B$104,E76)=0)),"关联不存在",IF(OR(ISNA(MATCH(H76,'_枚举'!$J$2:$J$8,0)),ISNA(MATCH(I76,'_枚举'!$C$2:$C$3,0)),ISNA(MATCH(J76,'_枚举'!$K$2:$K$6,0)),ISNA(MATCH(N76,'_枚举'!$L$2:$L$6,0)),ISNA(MATCH(O76,'_枚举'!$C$2:$C$3,0)),ISNA(MATCH(P76,'_枚举'!$C$2:$C$3,0)),ISNA(MATCH(Q76,'_枚举'!$C$2:$C$3,0)),ISNA(MATCH(R76,'_枚举'!$A$2:$A$4,0)),ISNA(MATCH(S76,'_枚举'!$B$2:$B$5,0)),ISNA(MATCH(T76,'_枚举'!$C$2:$C$3,0)),ISNA(MATCH(U76,'_枚举'!$C$2:$C$3,0)),ISNA(MATCH(V76,'_枚举'!$C$2:$C$3,0)),ISNA(MATCH(X76,'_枚举'!$M$2:$M$4,0))),"枚举错误",IF(AND(W76&lt;&gt;"",OR(LEN(W76)&lt;32,LEN(W76)&gt;128)),"格式错误",IF(OR(X76&lt;&gt;"PASSED",N76="UNKNOWN",AND(O76="TRUE",N76&lt;&gt;"OWNED",N76&lt;&gt;"AUTHORIZED",N76&lt;&gt;"PUBLIC_DOMAIN"),AND(P76="TRUE",N76&lt;&gt;"OWNED",N76&lt;&gt;"AUTHORIZED",N76&lt;&gt;"PUBLIC_DOMAIN"),U76="TRUE",V76="TRUE",AND(T76="TRUE",I76&lt;&gt;"TRUE")),"待人工复核","可导入")))))))</f>
        <v/>
      </c>
      <c r="B76" s="125" t="n"/>
      <c r="C76" s="125" t="n"/>
      <c r="D76" s="125" t="n"/>
      <c r="E76" s="125" t="n"/>
      <c r="F76" s="125" t="n"/>
      <c r="G76" s="126" t="n"/>
      <c r="H76" s="126" t="n"/>
      <c r="I76" s="126" t="n"/>
      <c r="J76" s="126" t="n"/>
      <c r="K76" s="125" t="n"/>
      <c r="L76" s="127" t="n"/>
      <c r="M76" s="127" t="n"/>
      <c r="N76" s="125" t="n"/>
      <c r="O76" s="125" t="n"/>
      <c r="P76" s="125" t="n"/>
      <c r="Q76" s="127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</row>
    <row r="77">
      <c r="A77" s="118">
        <f>IF(COUNTA(B77:Z77)=0,"待填写",IF(OR(B77="",AND(C77="",D77="",E77=""),F77="",G77="",H77="",I77="",J77="",N77="",O77="",P77="",Q77="",R77="",S77="",T77="",U77="",V77="",X77="",AND(OR(J77="SUPPLIER",J77="PLATFORM",J77="WEB"),L77="")),"请补全必填",IF(COUNTIF($B$5:$B$104,B77)&gt;1,"ID重复",IF(OR(AND(C77&lt;&gt;"",COUNTIF('水晶主数据'!$B$5:$B$54,C77)=0),AND(D77&lt;&gt;"",COUNTIF('珠子SKU'!$C$5:$C$104,D77)=0),AND(E77&lt;&gt;"",COUNTIF('库存批次'!$B$5:$B$104,E77)=0)),"关联不存在",IF(OR(ISNA(MATCH(H77,'_枚举'!$J$2:$J$8,0)),ISNA(MATCH(I77,'_枚举'!$C$2:$C$3,0)),ISNA(MATCH(J77,'_枚举'!$K$2:$K$6,0)),ISNA(MATCH(N77,'_枚举'!$L$2:$L$6,0)),ISNA(MATCH(O77,'_枚举'!$C$2:$C$3,0)),ISNA(MATCH(P77,'_枚举'!$C$2:$C$3,0)),ISNA(MATCH(Q77,'_枚举'!$C$2:$C$3,0)),ISNA(MATCH(R77,'_枚举'!$A$2:$A$4,0)),ISNA(MATCH(S77,'_枚举'!$B$2:$B$5,0)),ISNA(MATCH(T77,'_枚举'!$C$2:$C$3,0)),ISNA(MATCH(U77,'_枚举'!$C$2:$C$3,0)),ISNA(MATCH(V77,'_枚举'!$C$2:$C$3,0)),ISNA(MATCH(X77,'_枚举'!$M$2:$M$4,0))),"枚举错误",IF(AND(W77&lt;&gt;"",OR(LEN(W77)&lt;32,LEN(W77)&gt;128)),"格式错误",IF(OR(X77&lt;&gt;"PASSED",N77="UNKNOWN",AND(O77="TRUE",N77&lt;&gt;"OWNED",N77&lt;&gt;"AUTHORIZED",N77&lt;&gt;"PUBLIC_DOMAIN"),AND(P77="TRUE",N77&lt;&gt;"OWNED",N77&lt;&gt;"AUTHORIZED",N77&lt;&gt;"PUBLIC_DOMAIN"),U77="TRUE",V77="TRUE",AND(T77="TRUE",I77&lt;&gt;"TRUE")),"待人工复核","可导入")))))))</f>
        <v/>
      </c>
      <c r="B77" s="125" t="n"/>
      <c r="C77" s="125" t="n"/>
      <c r="D77" s="125" t="n"/>
      <c r="E77" s="125" t="n"/>
      <c r="F77" s="125" t="n"/>
      <c r="G77" s="126" t="n"/>
      <c r="H77" s="126" t="n"/>
      <c r="I77" s="126" t="n"/>
      <c r="J77" s="126" t="n"/>
      <c r="K77" s="125" t="n"/>
      <c r="L77" s="127" t="n"/>
      <c r="M77" s="127" t="n"/>
      <c r="N77" s="125" t="n"/>
      <c r="O77" s="125" t="n"/>
      <c r="P77" s="125" t="n"/>
      <c r="Q77" s="127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</row>
    <row r="78">
      <c r="A78" s="118">
        <f>IF(COUNTA(B78:Z78)=0,"待填写",IF(OR(B78="",AND(C78="",D78="",E78=""),F78="",G78="",H78="",I78="",J78="",N78="",O78="",P78="",Q78="",R78="",S78="",T78="",U78="",V78="",X78="",AND(OR(J78="SUPPLIER",J78="PLATFORM",J78="WEB"),L78="")),"请补全必填",IF(COUNTIF($B$5:$B$104,B78)&gt;1,"ID重复",IF(OR(AND(C78&lt;&gt;"",COUNTIF('水晶主数据'!$B$5:$B$54,C78)=0),AND(D78&lt;&gt;"",COUNTIF('珠子SKU'!$C$5:$C$104,D78)=0),AND(E78&lt;&gt;"",COUNTIF('库存批次'!$B$5:$B$104,E78)=0)),"关联不存在",IF(OR(ISNA(MATCH(H78,'_枚举'!$J$2:$J$8,0)),ISNA(MATCH(I78,'_枚举'!$C$2:$C$3,0)),ISNA(MATCH(J78,'_枚举'!$K$2:$K$6,0)),ISNA(MATCH(N78,'_枚举'!$L$2:$L$6,0)),ISNA(MATCH(O78,'_枚举'!$C$2:$C$3,0)),ISNA(MATCH(P78,'_枚举'!$C$2:$C$3,0)),ISNA(MATCH(Q78,'_枚举'!$C$2:$C$3,0)),ISNA(MATCH(R78,'_枚举'!$A$2:$A$4,0)),ISNA(MATCH(S78,'_枚举'!$B$2:$B$5,0)),ISNA(MATCH(T78,'_枚举'!$C$2:$C$3,0)),ISNA(MATCH(U78,'_枚举'!$C$2:$C$3,0)),ISNA(MATCH(V78,'_枚举'!$C$2:$C$3,0)),ISNA(MATCH(X78,'_枚举'!$M$2:$M$4,0))),"枚举错误",IF(AND(W78&lt;&gt;"",OR(LEN(W78)&lt;32,LEN(W78)&gt;128)),"格式错误",IF(OR(X78&lt;&gt;"PASSED",N78="UNKNOWN",AND(O78="TRUE",N78&lt;&gt;"OWNED",N78&lt;&gt;"AUTHORIZED",N78&lt;&gt;"PUBLIC_DOMAIN"),AND(P78="TRUE",N78&lt;&gt;"OWNED",N78&lt;&gt;"AUTHORIZED",N78&lt;&gt;"PUBLIC_DOMAIN"),U78="TRUE",V78="TRUE",AND(T78="TRUE",I78&lt;&gt;"TRUE")),"待人工复核","可导入")))))))</f>
        <v/>
      </c>
      <c r="B78" s="125" t="n"/>
      <c r="C78" s="125" t="n"/>
      <c r="D78" s="125" t="n"/>
      <c r="E78" s="125" t="n"/>
      <c r="F78" s="125" t="n"/>
      <c r="G78" s="126" t="n"/>
      <c r="H78" s="126" t="n"/>
      <c r="I78" s="126" t="n"/>
      <c r="J78" s="126" t="n"/>
      <c r="K78" s="125" t="n"/>
      <c r="L78" s="127" t="n"/>
      <c r="M78" s="127" t="n"/>
      <c r="N78" s="125" t="n"/>
      <c r="O78" s="125" t="n"/>
      <c r="P78" s="125" t="n"/>
      <c r="Q78" s="127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</row>
    <row r="79">
      <c r="A79" s="118">
        <f>IF(COUNTA(B79:Z79)=0,"待填写",IF(OR(B79="",AND(C79="",D79="",E79=""),F79="",G79="",H79="",I79="",J79="",N79="",O79="",P79="",Q79="",R79="",S79="",T79="",U79="",V79="",X79="",AND(OR(J79="SUPPLIER",J79="PLATFORM",J79="WEB"),L79="")),"请补全必填",IF(COUNTIF($B$5:$B$104,B79)&gt;1,"ID重复",IF(OR(AND(C79&lt;&gt;"",COUNTIF('水晶主数据'!$B$5:$B$54,C79)=0),AND(D79&lt;&gt;"",COUNTIF('珠子SKU'!$C$5:$C$104,D79)=0),AND(E79&lt;&gt;"",COUNTIF('库存批次'!$B$5:$B$104,E79)=0)),"关联不存在",IF(OR(ISNA(MATCH(H79,'_枚举'!$J$2:$J$8,0)),ISNA(MATCH(I79,'_枚举'!$C$2:$C$3,0)),ISNA(MATCH(J79,'_枚举'!$K$2:$K$6,0)),ISNA(MATCH(N79,'_枚举'!$L$2:$L$6,0)),ISNA(MATCH(O79,'_枚举'!$C$2:$C$3,0)),ISNA(MATCH(P79,'_枚举'!$C$2:$C$3,0)),ISNA(MATCH(Q79,'_枚举'!$C$2:$C$3,0)),ISNA(MATCH(R79,'_枚举'!$A$2:$A$4,0)),ISNA(MATCH(S79,'_枚举'!$B$2:$B$5,0)),ISNA(MATCH(T79,'_枚举'!$C$2:$C$3,0)),ISNA(MATCH(U79,'_枚举'!$C$2:$C$3,0)),ISNA(MATCH(V79,'_枚举'!$C$2:$C$3,0)),ISNA(MATCH(X79,'_枚举'!$M$2:$M$4,0))),"枚举错误",IF(AND(W79&lt;&gt;"",OR(LEN(W79)&lt;32,LEN(W79)&gt;128)),"格式错误",IF(OR(X79&lt;&gt;"PASSED",N79="UNKNOWN",AND(O79="TRUE",N79&lt;&gt;"OWNED",N79&lt;&gt;"AUTHORIZED",N79&lt;&gt;"PUBLIC_DOMAIN"),AND(P79="TRUE",N79&lt;&gt;"OWNED",N79&lt;&gt;"AUTHORIZED",N79&lt;&gt;"PUBLIC_DOMAIN"),U79="TRUE",V79="TRUE",AND(T79="TRUE",I79&lt;&gt;"TRUE")),"待人工复核","可导入")))))))</f>
        <v/>
      </c>
      <c r="B79" s="125" t="n"/>
      <c r="C79" s="125" t="n"/>
      <c r="D79" s="125" t="n"/>
      <c r="E79" s="125" t="n"/>
      <c r="F79" s="125" t="n"/>
      <c r="G79" s="126" t="n"/>
      <c r="H79" s="126" t="n"/>
      <c r="I79" s="126" t="n"/>
      <c r="J79" s="126" t="n"/>
      <c r="K79" s="125" t="n"/>
      <c r="L79" s="127" t="n"/>
      <c r="M79" s="127" t="n"/>
      <c r="N79" s="125" t="n"/>
      <c r="O79" s="125" t="n"/>
      <c r="P79" s="125" t="n"/>
      <c r="Q79" s="127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</row>
    <row r="80">
      <c r="A80" s="118">
        <f>IF(COUNTA(B80:Z80)=0,"待填写",IF(OR(B80="",AND(C80="",D80="",E80=""),F80="",G80="",H80="",I80="",J80="",N80="",O80="",P80="",Q80="",R80="",S80="",T80="",U80="",V80="",X80="",AND(OR(J80="SUPPLIER",J80="PLATFORM",J80="WEB"),L80="")),"请补全必填",IF(COUNTIF($B$5:$B$104,B80)&gt;1,"ID重复",IF(OR(AND(C80&lt;&gt;"",COUNTIF('水晶主数据'!$B$5:$B$54,C80)=0),AND(D80&lt;&gt;"",COUNTIF('珠子SKU'!$C$5:$C$104,D80)=0),AND(E80&lt;&gt;"",COUNTIF('库存批次'!$B$5:$B$104,E80)=0)),"关联不存在",IF(OR(ISNA(MATCH(H80,'_枚举'!$J$2:$J$8,0)),ISNA(MATCH(I80,'_枚举'!$C$2:$C$3,0)),ISNA(MATCH(J80,'_枚举'!$K$2:$K$6,0)),ISNA(MATCH(N80,'_枚举'!$L$2:$L$6,0)),ISNA(MATCH(O80,'_枚举'!$C$2:$C$3,0)),ISNA(MATCH(P80,'_枚举'!$C$2:$C$3,0)),ISNA(MATCH(Q80,'_枚举'!$C$2:$C$3,0)),ISNA(MATCH(R80,'_枚举'!$A$2:$A$4,0)),ISNA(MATCH(S80,'_枚举'!$B$2:$B$5,0)),ISNA(MATCH(T80,'_枚举'!$C$2:$C$3,0)),ISNA(MATCH(U80,'_枚举'!$C$2:$C$3,0)),ISNA(MATCH(V80,'_枚举'!$C$2:$C$3,0)),ISNA(MATCH(X80,'_枚举'!$M$2:$M$4,0))),"枚举错误",IF(AND(W80&lt;&gt;"",OR(LEN(W80)&lt;32,LEN(W80)&gt;128)),"格式错误",IF(OR(X80&lt;&gt;"PASSED",N80="UNKNOWN",AND(O80="TRUE",N80&lt;&gt;"OWNED",N80&lt;&gt;"AUTHORIZED",N80&lt;&gt;"PUBLIC_DOMAIN"),AND(P80="TRUE",N80&lt;&gt;"OWNED",N80&lt;&gt;"AUTHORIZED",N80&lt;&gt;"PUBLIC_DOMAIN"),U80="TRUE",V80="TRUE",AND(T80="TRUE",I80&lt;&gt;"TRUE")),"待人工复核","可导入")))))))</f>
        <v/>
      </c>
      <c r="B80" s="125" t="n"/>
      <c r="C80" s="125" t="n"/>
      <c r="D80" s="125" t="n"/>
      <c r="E80" s="125" t="n"/>
      <c r="F80" s="125" t="n"/>
      <c r="G80" s="126" t="n"/>
      <c r="H80" s="126" t="n"/>
      <c r="I80" s="126" t="n"/>
      <c r="J80" s="126" t="n"/>
      <c r="K80" s="125" t="n"/>
      <c r="L80" s="127" t="n"/>
      <c r="M80" s="127" t="n"/>
      <c r="N80" s="125" t="n"/>
      <c r="O80" s="125" t="n"/>
      <c r="P80" s="125" t="n"/>
      <c r="Q80" s="127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</row>
    <row r="81">
      <c r="A81" s="118">
        <f>IF(COUNTA(B81:Z81)=0,"待填写",IF(OR(B81="",AND(C81="",D81="",E81=""),F81="",G81="",H81="",I81="",J81="",N81="",O81="",P81="",Q81="",R81="",S81="",T81="",U81="",V81="",X81="",AND(OR(J81="SUPPLIER",J81="PLATFORM",J81="WEB"),L81="")),"请补全必填",IF(COUNTIF($B$5:$B$104,B81)&gt;1,"ID重复",IF(OR(AND(C81&lt;&gt;"",COUNTIF('水晶主数据'!$B$5:$B$54,C81)=0),AND(D81&lt;&gt;"",COUNTIF('珠子SKU'!$C$5:$C$104,D81)=0),AND(E81&lt;&gt;"",COUNTIF('库存批次'!$B$5:$B$104,E81)=0)),"关联不存在",IF(OR(ISNA(MATCH(H81,'_枚举'!$J$2:$J$8,0)),ISNA(MATCH(I81,'_枚举'!$C$2:$C$3,0)),ISNA(MATCH(J81,'_枚举'!$K$2:$K$6,0)),ISNA(MATCH(N81,'_枚举'!$L$2:$L$6,0)),ISNA(MATCH(O81,'_枚举'!$C$2:$C$3,0)),ISNA(MATCH(P81,'_枚举'!$C$2:$C$3,0)),ISNA(MATCH(Q81,'_枚举'!$C$2:$C$3,0)),ISNA(MATCH(R81,'_枚举'!$A$2:$A$4,0)),ISNA(MATCH(S81,'_枚举'!$B$2:$B$5,0)),ISNA(MATCH(T81,'_枚举'!$C$2:$C$3,0)),ISNA(MATCH(U81,'_枚举'!$C$2:$C$3,0)),ISNA(MATCH(V81,'_枚举'!$C$2:$C$3,0)),ISNA(MATCH(X81,'_枚举'!$M$2:$M$4,0))),"枚举错误",IF(AND(W81&lt;&gt;"",OR(LEN(W81)&lt;32,LEN(W81)&gt;128)),"格式错误",IF(OR(X81&lt;&gt;"PASSED",N81="UNKNOWN",AND(O81="TRUE",N81&lt;&gt;"OWNED",N81&lt;&gt;"AUTHORIZED",N81&lt;&gt;"PUBLIC_DOMAIN"),AND(P81="TRUE",N81&lt;&gt;"OWNED",N81&lt;&gt;"AUTHORIZED",N81&lt;&gt;"PUBLIC_DOMAIN"),U81="TRUE",V81="TRUE",AND(T81="TRUE",I81&lt;&gt;"TRUE")),"待人工复核","可导入")))))))</f>
        <v/>
      </c>
      <c r="B81" s="125" t="n"/>
      <c r="C81" s="125" t="n"/>
      <c r="D81" s="125" t="n"/>
      <c r="E81" s="125" t="n"/>
      <c r="F81" s="125" t="n"/>
      <c r="G81" s="126" t="n"/>
      <c r="H81" s="126" t="n"/>
      <c r="I81" s="126" t="n"/>
      <c r="J81" s="126" t="n"/>
      <c r="K81" s="125" t="n"/>
      <c r="L81" s="127" t="n"/>
      <c r="M81" s="127" t="n"/>
      <c r="N81" s="125" t="n"/>
      <c r="O81" s="125" t="n"/>
      <c r="P81" s="125" t="n"/>
      <c r="Q81" s="127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</row>
    <row r="82">
      <c r="A82" s="118">
        <f>IF(COUNTA(B82:Z82)=0,"待填写",IF(OR(B82="",AND(C82="",D82="",E82=""),F82="",G82="",H82="",I82="",J82="",N82="",O82="",P82="",Q82="",R82="",S82="",T82="",U82="",V82="",X82="",AND(OR(J82="SUPPLIER",J82="PLATFORM",J82="WEB"),L82="")),"请补全必填",IF(COUNTIF($B$5:$B$104,B82)&gt;1,"ID重复",IF(OR(AND(C82&lt;&gt;"",COUNTIF('水晶主数据'!$B$5:$B$54,C82)=0),AND(D82&lt;&gt;"",COUNTIF('珠子SKU'!$C$5:$C$104,D82)=0),AND(E82&lt;&gt;"",COUNTIF('库存批次'!$B$5:$B$104,E82)=0)),"关联不存在",IF(OR(ISNA(MATCH(H82,'_枚举'!$J$2:$J$8,0)),ISNA(MATCH(I82,'_枚举'!$C$2:$C$3,0)),ISNA(MATCH(J82,'_枚举'!$K$2:$K$6,0)),ISNA(MATCH(N82,'_枚举'!$L$2:$L$6,0)),ISNA(MATCH(O82,'_枚举'!$C$2:$C$3,0)),ISNA(MATCH(P82,'_枚举'!$C$2:$C$3,0)),ISNA(MATCH(Q82,'_枚举'!$C$2:$C$3,0)),ISNA(MATCH(R82,'_枚举'!$A$2:$A$4,0)),ISNA(MATCH(S82,'_枚举'!$B$2:$B$5,0)),ISNA(MATCH(T82,'_枚举'!$C$2:$C$3,0)),ISNA(MATCH(U82,'_枚举'!$C$2:$C$3,0)),ISNA(MATCH(V82,'_枚举'!$C$2:$C$3,0)),ISNA(MATCH(X82,'_枚举'!$M$2:$M$4,0))),"枚举错误",IF(AND(W82&lt;&gt;"",OR(LEN(W82)&lt;32,LEN(W82)&gt;128)),"格式错误",IF(OR(X82&lt;&gt;"PASSED",N82="UNKNOWN",AND(O82="TRUE",N82&lt;&gt;"OWNED",N82&lt;&gt;"AUTHORIZED",N82&lt;&gt;"PUBLIC_DOMAIN"),AND(P82="TRUE",N82&lt;&gt;"OWNED",N82&lt;&gt;"AUTHORIZED",N82&lt;&gt;"PUBLIC_DOMAIN"),U82="TRUE",V82="TRUE",AND(T82="TRUE",I82&lt;&gt;"TRUE")),"待人工复核","可导入")))))))</f>
        <v/>
      </c>
      <c r="B82" s="125" t="n"/>
      <c r="C82" s="125" t="n"/>
      <c r="D82" s="125" t="n"/>
      <c r="E82" s="125" t="n"/>
      <c r="F82" s="125" t="n"/>
      <c r="G82" s="126" t="n"/>
      <c r="H82" s="126" t="n"/>
      <c r="I82" s="126" t="n"/>
      <c r="J82" s="126" t="n"/>
      <c r="K82" s="125" t="n"/>
      <c r="L82" s="127" t="n"/>
      <c r="M82" s="127" t="n"/>
      <c r="N82" s="125" t="n"/>
      <c r="O82" s="125" t="n"/>
      <c r="P82" s="125" t="n"/>
      <c r="Q82" s="127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</row>
    <row r="83">
      <c r="A83" s="118">
        <f>IF(COUNTA(B83:Z83)=0,"待填写",IF(OR(B83="",AND(C83="",D83="",E83=""),F83="",G83="",H83="",I83="",J83="",N83="",O83="",P83="",Q83="",R83="",S83="",T83="",U83="",V83="",X83="",AND(OR(J83="SUPPLIER",J83="PLATFORM",J83="WEB"),L83="")),"请补全必填",IF(COUNTIF($B$5:$B$104,B83)&gt;1,"ID重复",IF(OR(AND(C83&lt;&gt;"",COUNTIF('水晶主数据'!$B$5:$B$54,C83)=0),AND(D83&lt;&gt;"",COUNTIF('珠子SKU'!$C$5:$C$104,D83)=0),AND(E83&lt;&gt;"",COUNTIF('库存批次'!$B$5:$B$104,E83)=0)),"关联不存在",IF(OR(ISNA(MATCH(H83,'_枚举'!$J$2:$J$8,0)),ISNA(MATCH(I83,'_枚举'!$C$2:$C$3,0)),ISNA(MATCH(J83,'_枚举'!$K$2:$K$6,0)),ISNA(MATCH(N83,'_枚举'!$L$2:$L$6,0)),ISNA(MATCH(O83,'_枚举'!$C$2:$C$3,0)),ISNA(MATCH(P83,'_枚举'!$C$2:$C$3,0)),ISNA(MATCH(Q83,'_枚举'!$C$2:$C$3,0)),ISNA(MATCH(R83,'_枚举'!$A$2:$A$4,0)),ISNA(MATCH(S83,'_枚举'!$B$2:$B$5,0)),ISNA(MATCH(T83,'_枚举'!$C$2:$C$3,0)),ISNA(MATCH(U83,'_枚举'!$C$2:$C$3,0)),ISNA(MATCH(V83,'_枚举'!$C$2:$C$3,0)),ISNA(MATCH(X83,'_枚举'!$M$2:$M$4,0))),"枚举错误",IF(AND(W83&lt;&gt;"",OR(LEN(W83)&lt;32,LEN(W83)&gt;128)),"格式错误",IF(OR(X83&lt;&gt;"PASSED",N83="UNKNOWN",AND(O83="TRUE",N83&lt;&gt;"OWNED",N83&lt;&gt;"AUTHORIZED",N83&lt;&gt;"PUBLIC_DOMAIN"),AND(P83="TRUE",N83&lt;&gt;"OWNED",N83&lt;&gt;"AUTHORIZED",N83&lt;&gt;"PUBLIC_DOMAIN"),U83="TRUE",V83="TRUE",AND(T83="TRUE",I83&lt;&gt;"TRUE")),"待人工复核","可导入")))))))</f>
        <v/>
      </c>
      <c r="B83" s="125" t="n"/>
      <c r="C83" s="125" t="n"/>
      <c r="D83" s="125" t="n"/>
      <c r="E83" s="125" t="n"/>
      <c r="F83" s="125" t="n"/>
      <c r="G83" s="126" t="n"/>
      <c r="H83" s="126" t="n"/>
      <c r="I83" s="126" t="n"/>
      <c r="J83" s="126" t="n"/>
      <c r="K83" s="125" t="n"/>
      <c r="L83" s="127" t="n"/>
      <c r="M83" s="127" t="n"/>
      <c r="N83" s="125" t="n"/>
      <c r="O83" s="125" t="n"/>
      <c r="P83" s="125" t="n"/>
      <c r="Q83" s="127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</row>
    <row r="84">
      <c r="A84" s="118">
        <f>IF(COUNTA(B84:Z84)=0,"待填写",IF(OR(B84="",AND(C84="",D84="",E84=""),F84="",G84="",H84="",I84="",J84="",N84="",O84="",P84="",Q84="",R84="",S84="",T84="",U84="",V84="",X84="",AND(OR(J84="SUPPLIER",J84="PLATFORM",J84="WEB"),L84="")),"请补全必填",IF(COUNTIF($B$5:$B$104,B84)&gt;1,"ID重复",IF(OR(AND(C84&lt;&gt;"",COUNTIF('水晶主数据'!$B$5:$B$54,C84)=0),AND(D84&lt;&gt;"",COUNTIF('珠子SKU'!$C$5:$C$104,D84)=0),AND(E84&lt;&gt;"",COUNTIF('库存批次'!$B$5:$B$104,E84)=0)),"关联不存在",IF(OR(ISNA(MATCH(H84,'_枚举'!$J$2:$J$8,0)),ISNA(MATCH(I84,'_枚举'!$C$2:$C$3,0)),ISNA(MATCH(J84,'_枚举'!$K$2:$K$6,0)),ISNA(MATCH(N84,'_枚举'!$L$2:$L$6,0)),ISNA(MATCH(O84,'_枚举'!$C$2:$C$3,0)),ISNA(MATCH(P84,'_枚举'!$C$2:$C$3,0)),ISNA(MATCH(Q84,'_枚举'!$C$2:$C$3,0)),ISNA(MATCH(R84,'_枚举'!$A$2:$A$4,0)),ISNA(MATCH(S84,'_枚举'!$B$2:$B$5,0)),ISNA(MATCH(T84,'_枚举'!$C$2:$C$3,0)),ISNA(MATCH(U84,'_枚举'!$C$2:$C$3,0)),ISNA(MATCH(V84,'_枚举'!$C$2:$C$3,0)),ISNA(MATCH(X84,'_枚举'!$M$2:$M$4,0))),"枚举错误",IF(AND(W84&lt;&gt;"",OR(LEN(W84)&lt;32,LEN(W84)&gt;128)),"格式错误",IF(OR(X84&lt;&gt;"PASSED",N84="UNKNOWN",AND(O84="TRUE",N84&lt;&gt;"OWNED",N84&lt;&gt;"AUTHORIZED",N84&lt;&gt;"PUBLIC_DOMAIN"),AND(P84="TRUE",N84&lt;&gt;"OWNED",N84&lt;&gt;"AUTHORIZED",N84&lt;&gt;"PUBLIC_DOMAIN"),U84="TRUE",V84="TRUE",AND(T84="TRUE",I84&lt;&gt;"TRUE")),"待人工复核","可导入")))))))</f>
        <v/>
      </c>
      <c r="B84" s="125" t="n"/>
      <c r="C84" s="125" t="n"/>
      <c r="D84" s="125" t="n"/>
      <c r="E84" s="125" t="n"/>
      <c r="F84" s="125" t="n"/>
      <c r="G84" s="126" t="n"/>
      <c r="H84" s="126" t="n"/>
      <c r="I84" s="126" t="n"/>
      <c r="J84" s="126" t="n"/>
      <c r="K84" s="125" t="n"/>
      <c r="L84" s="127" t="n"/>
      <c r="M84" s="127" t="n"/>
      <c r="N84" s="125" t="n"/>
      <c r="O84" s="125" t="n"/>
      <c r="P84" s="125" t="n"/>
      <c r="Q84" s="127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</row>
    <row r="85">
      <c r="A85" s="118">
        <f>IF(COUNTA(B85:Z85)=0,"待填写",IF(OR(B85="",AND(C85="",D85="",E85=""),F85="",G85="",H85="",I85="",J85="",N85="",O85="",P85="",Q85="",R85="",S85="",T85="",U85="",V85="",X85="",AND(OR(J85="SUPPLIER",J85="PLATFORM",J85="WEB"),L85="")),"请补全必填",IF(COUNTIF($B$5:$B$104,B85)&gt;1,"ID重复",IF(OR(AND(C85&lt;&gt;"",COUNTIF('水晶主数据'!$B$5:$B$54,C85)=0),AND(D85&lt;&gt;"",COUNTIF('珠子SKU'!$C$5:$C$104,D85)=0),AND(E85&lt;&gt;"",COUNTIF('库存批次'!$B$5:$B$104,E85)=0)),"关联不存在",IF(OR(ISNA(MATCH(H85,'_枚举'!$J$2:$J$8,0)),ISNA(MATCH(I85,'_枚举'!$C$2:$C$3,0)),ISNA(MATCH(J85,'_枚举'!$K$2:$K$6,0)),ISNA(MATCH(N85,'_枚举'!$L$2:$L$6,0)),ISNA(MATCH(O85,'_枚举'!$C$2:$C$3,0)),ISNA(MATCH(P85,'_枚举'!$C$2:$C$3,0)),ISNA(MATCH(Q85,'_枚举'!$C$2:$C$3,0)),ISNA(MATCH(R85,'_枚举'!$A$2:$A$4,0)),ISNA(MATCH(S85,'_枚举'!$B$2:$B$5,0)),ISNA(MATCH(T85,'_枚举'!$C$2:$C$3,0)),ISNA(MATCH(U85,'_枚举'!$C$2:$C$3,0)),ISNA(MATCH(V85,'_枚举'!$C$2:$C$3,0)),ISNA(MATCH(X85,'_枚举'!$M$2:$M$4,0))),"枚举错误",IF(AND(W85&lt;&gt;"",OR(LEN(W85)&lt;32,LEN(W85)&gt;128)),"格式错误",IF(OR(X85&lt;&gt;"PASSED",N85="UNKNOWN",AND(O85="TRUE",N85&lt;&gt;"OWNED",N85&lt;&gt;"AUTHORIZED",N85&lt;&gt;"PUBLIC_DOMAIN"),AND(P85="TRUE",N85&lt;&gt;"OWNED",N85&lt;&gt;"AUTHORIZED",N85&lt;&gt;"PUBLIC_DOMAIN"),U85="TRUE",V85="TRUE",AND(T85="TRUE",I85&lt;&gt;"TRUE")),"待人工复核","可导入")))))))</f>
        <v/>
      </c>
      <c r="B85" s="125" t="n"/>
      <c r="C85" s="125" t="n"/>
      <c r="D85" s="125" t="n"/>
      <c r="E85" s="125" t="n"/>
      <c r="F85" s="125" t="n"/>
      <c r="G85" s="126" t="n"/>
      <c r="H85" s="126" t="n"/>
      <c r="I85" s="126" t="n"/>
      <c r="J85" s="126" t="n"/>
      <c r="K85" s="125" t="n"/>
      <c r="L85" s="127" t="n"/>
      <c r="M85" s="127" t="n"/>
      <c r="N85" s="125" t="n"/>
      <c r="O85" s="125" t="n"/>
      <c r="P85" s="125" t="n"/>
      <c r="Q85" s="127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</row>
    <row r="86">
      <c r="A86" s="118">
        <f>IF(COUNTA(B86:Z86)=0,"待填写",IF(OR(B86="",AND(C86="",D86="",E86=""),F86="",G86="",H86="",I86="",J86="",N86="",O86="",P86="",Q86="",R86="",S86="",T86="",U86="",V86="",X86="",AND(OR(J86="SUPPLIER",J86="PLATFORM",J86="WEB"),L86="")),"请补全必填",IF(COUNTIF($B$5:$B$104,B86)&gt;1,"ID重复",IF(OR(AND(C86&lt;&gt;"",COUNTIF('水晶主数据'!$B$5:$B$54,C86)=0),AND(D86&lt;&gt;"",COUNTIF('珠子SKU'!$C$5:$C$104,D86)=0),AND(E86&lt;&gt;"",COUNTIF('库存批次'!$B$5:$B$104,E86)=0)),"关联不存在",IF(OR(ISNA(MATCH(H86,'_枚举'!$J$2:$J$8,0)),ISNA(MATCH(I86,'_枚举'!$C$2:$C$3,0)),ISNA(MATCH(J86,'_枚举'!$K$2:$K$6,0)),ISNA(MATCH(N86,'_枚举'!$L$2:$L$6,0)),ISNA(MATCH(O86,'_枚举'!$C$2:$C$3,0)),ISNA(MATCH(P86,'_枚举'!$C$2:$C$3,0)),ISNA(MATCH(Q86,'_枚举'!$C$2:$C$3,0)),ISNA(MATCH(R86,'_枚举'!$A$2:$A$4,0)),ISNA(MATCH(S86,'_枚举'!$B$2:$B$5,0)),ISNA(MATCH(T86,'_枚举'!$C$2:$C$3,0)),ISNA(MATCH(U86,'_枚举'!$C$2:$C$3,0)),ISNA(MATCH(V86,'_枚举'!$C$2:$C$3,0)),ISNA(MATCH(X86,'_枚举'!$M$2:$M$4,0))),"枚举错误",IF(AND(W86&lt;&gt;"",OR(LEN(W86)&lt;32,LEN(W86)&gt;128)),"格式错误",IF(OR(X86&lt;&gt;"PASSED",N86="UNKNOWN",AND(O86="TRUE",N86&lt;&gt;"OWNED",N86&lt;&gt;"AUTHORIZED",N86&lt;&gt;"PUBLIC_DOMAIN"),AND(P86="TRUE",N86&lt;&gt;"OWNED",N86&lt;&gt;"AUTHORIZED",N86&lt;&gt;"PUBLIC_DOMAIN"),U86="TRUE",V86="TRUE",AND(T86="TRUE",I86&lt;&gt;"TRUE")),"待人工复核","可导入")))))))</f>
        <v/>
      </c>
      <c r="B86" s="125" t="n"/>
      <c r="C86" s="125" t="n"/>
      <c r="D86" s="125" t="n"/>
      <c r="E86" s="125" t="n"/>
      <c r="F86" s="125" t="n"/>
      <c r="G86" s="126" t="n"/>
      <c r="H86" s="126" t="n"/>
      <c r="I86" s="126" t="n"/>
      <c r="J86" s="126" t="n"/>
      <c r="K86" s="125" t="n"/>
      <c r="L86" s="127" t="n"/>
      <c r="M86" s="127" t="n"/>
      <c r="N86" s="125" t="n"/>
      <c r="O86" s="125" t="n"/>
      <c r="P86" s="125" t="n"/>
      <c r="Q86" s="127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</row>
    <row r="87">
      <c r="A87" s="118">
        <f>IF(COUNTA(B87:Z87)=0,"待填写",IF(OR(B87="",AND(C87="",D87="",E87=""),F87="",G87="",H87="",I87="",J87="",N87="",O87="",P87="",Q87="",R87="",S87="",T87="",U87="",V87="",X87="",AND(OR(J87="SUPPLIER",J87="PLATFORM",J87="WEB"),L87="")),"请补全必填",IF(COUNTIF($B$5:$B$104,B87)&gt;1,"ID重复",IF(OR(AND(C87&lt;&gt;"",COUNTIF('水晶主数据'!$B$5:$B$54,C87)=0),AND(D87&lt;&gt;"",COUNTIF('珠子SKU'!$C$5:$C$104,D87)=0),AND(E87&lt;&gt;"",COUNTIF('库存批次'!$B$5:$B$104,E87)=0)),"关联不存在",IF(OR(ISNA(MATCH(H87,'_枚举'!$J$2:$J$8,0)),ISNA(MATCH(I87,'_枚举'!$C$2:$C$3,0)),ISNA(MATCH(J87,'_枚举'!$K$2:$K$6,0)),ISNA(MATCH(N87,'_枚举'!$L$2:$L$6,0)),ISNA(MATCH(O87,'_枚举'!$C$2:$C$3,0)),ISNA(MATCH(P87,'_枚举'!$C$2:$C$3,0)),ISNA(MATCH(Q87,'_枚举'!$C$2:$C$3,0)),ISNA(MATCH(R87,'_枚举'!$A$2:$A$4,0)),ISNA(MATCH(S87,'_枚举'!$B$2:$B$5,0)),ISNA(MATCH(T87,'_枚举'!$C$2:$C$3,0)),ISNA(MATCH(U87,'_枚举'!$C$2:$C$3,0)),ISNA(MATCH(V87,'_枚举'!$C$2:$C$3,0)),ISNA(MATCH(X87,'_枚举'!$M$2:$M$4,0))),"枚举错误",IF(AND(W87&lt;&gt;"",OR(LEN(W87)&lt;32,LEN(W87)&gt;128)),"格式错误",IF(OR(X87&lt;&gt;"PASSED",N87="UNKNOWN",AND(O87="TRUE",N87&lt;&gt;"OWNED",N87&lt;&gt;"AUTHORIZED",N87&lt;&gt;"PUBLIC_DOMAIN"),AND(P87="TRUE",N87&lt;&gt;"OWNED",N87&lt;&gt;"AUTHORIZED",N87&lt;&gt;"PUBLIC_DOMAIN"),U87="TRUE",V87="TRUE",AND(T87="TRUE",I87&lt;&gt;"TRUE")),"待人工复核","可导入")))))))</f>
        <v/>
      </c>
      <c r="B87" s="125" t="n"/>
      <c r="C87" s="125" t="n"/>
      <c r="D87" s="125" t="n"/>
      <c r="E87" s="125" t="n"/>
      <c r="F87" s="125" t="n"/>
      <c r="G87" s="126" t="n"/>
      <c r="H87" s="126" t="n"/>
      <c r="I87" s="126" t="n"/>
      <c r="J87" s="126" t="n"/>
      <c r="K87" s="125" t="n"/>
      <c r="L87" s="127" t="n"/>
      <c r="M87" s="127" t="n"/>
      <c r="N87" s="125" t="n"/>
      <c r="O87" s="125" t="n"/>
      <c r="P87" s="125" t="n"/>
      <c r="Q87" s="127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</row>
    <row r="88">
      <c r="A88" s="118">
        <f>IF(COUNTA(B88:Z88)=0,"待填写",IF(OR(B88="",AND(C88="",D88="",E88=""),F88="",G88="",H88="",I88="",J88="",N88="",O88="",P88="",Q88="",R88="",S88="",T88="",U88="",V88="",X88="",AND(OR(J88="SUPPLIER",J88="PLATFORM",J88="WEB"),L88="")),"请补全必填",IF(COUNTIF($B$5:$B$104,B88)&gt;1,"ID重复",IF(OR(AND(C88&lt;&gt;"",COUNTIF('水晶主数据'!$B$5:$B$54,C88)=0),AND(D88&lt;&gt;"",COUNTIF('珠子SKU'!$C$5:$C$104,D88)=0),AND(E88&lt;&gt;"",COUNTIF('库存批次'!$B$5:$B$104,E88)=0)),"关联不存在",IF(OR(ISNA(MATCH(H88,'_枚举'!$J$2:$J$8,0)),ISNA(MATCH(I88,'_枚举'!$C$2:$C$3,0)),ISNA(MATCH(J88,'_枚举'!$K$2:$K$6,0)),ISNA(MATCH(N88,'_枚举'!$L$2:$L$6,0)),ISNA(MATCH(O88,'_枚举'!$C$2:$C$3,0)),ISNA(MATCH(P88,'_枚举'!$C$2:$C$3,0)),ISNA(MATCH(Q88,'_枚举'!$C$2:$C$3,0)),ISNA(MATCH(R88,'_枚举'!$A$2:$A$4,0)),ISNA(MATCH(S88,'_枚举'!$B$2:$B$5,0)),ISNA(MATCH(T88,'_枚举'!$C$2:$C$3,0)),ISNA(MATCH(U88,'_枚举'!$C$2:$C$3,0)),ISNA(MATCH(V88,'_枚举'!$C$2:$C$3,0)),ISNA(MATCH(X88,'_枚举'!$M$2:$M$4,0))),"枚举错误",IF(AND(W88&lt;&gt;"",OR(LEN(W88)&lt;32,LEN(W88)&gt;128)),"格式错误",IF(OR(X88&lt;&gt;"PASSED",N88="UNKNOWN",AND(O88="TRUE",N88&lt;&gt;"OWNED",N88&lt;&gt;"AUTHORIZED",N88&lt;&gt;"PUBLIC_DOMAIN"),AND(P88="TRUE",N88&lt;&gt;"OWNED",N88&lt;&gt;"AUTHORIZED",N88&lt;&gt;"PUBLIC_DOMAIN"),U88="TRUE",V88="TRUE",AND(T88="TRUE",I88&lt;&gt;"TRUE")),"待人工复核","可导入")))))))</f>
        <v/>
      </c>
      <c r="B88" s="125" t="n"/>
      <c r="C88" s="125" t="n"/>
      <c r="D88" s="125" t="n"/>
      <c r="E88" s="125" t="n"/>
      <c r="F88" s="125" t="n"/>
      <c r="G88" s="126" t="n"/>
      <c r="H88" s="126" t="n"/>
      <c r="I88" s="126" t="n"/>
      <c r="J88" s="126" t="n"/>
      <c r="K88" s="125" t="n"/>
      <c r="L88" s="127" t="n"/>
      <c r="M88" s="127" t="n"/>
      <c r="N88" s="125" t="n"/>
      <c r="O88" s="125" t="n"/>
      <c r="P88" s="125" t="n"/>
      <c r="Q88" s="127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</row>
    <row r="89">
      <c r="A89" s="118">
        <f>IF(COUNTA(B89:Z89)=0,"待填写",IF(OR(B89="",AND(C89="",D89="",E89=""),F89="",G89="",H89="",I89="",J89="",N89="",O89="",P89="",Q89="",R89="",S89="",T89="",U89="",V89="",X89="",AND(OR(J89="SUPPLIER",J89="PLATFORM",J89="WEB"),L89="")),"请补全必填",IF(COUNTIF($B$5:$B$104,B89)&gt;1,"ID重复",IF(OR(AND(C89&lt;&gt;"",COUNTIF('水晶主数据'!$B$5:$B$54,C89)=0),AND(D89&lt;&gt;"",COUNTIF('珠子SKU'!$C$5:$C$104,D89)=0),AND(E89&lt;&gt;"",COUNTIF('库存批次'!$B$5:$B$104,E89)=0)),"关联不存在",IF(OR(ISNA(MATCH(H89,'_枚举'!$J$2:$J$8,0)),ISNA(MATCH(I89,'_枚举'!$C$2:$C$3,0)),ISNA(MATCH(J89,'_枚举'!$K$2:$K$6,0)),ISNA(MATCH(N89,'_枚举'!$L$2:$L$6,0)),ISNA(MATCH(O89,'_枚举'!$C$2:$C$3,0)),ISNA(MATCH(P89,'_枚举'!$C$2:$C$3,0)),ISNA(MATCH(Q89,'_枚举'!$C$2:$C$3,0)),ISNA(MATCH(R89,'_枚举'!$A$2:$A$4,0)),ISNA(MATCH(S89,'_枚举'!$B$2:$B$5,0)),ISNA(MATCH(T89,'_枚举'!$C$2:$C$3,0)),ISNA(MATCH(U89,'_枚举'!$C$2:$C$3,0)),ISNA(MATCH(V89,'_枚举'!$C$2:$C$3,0)),ISNA(MATCH(X89,'_枚举'!$M$2:$M$4,0))),"枚举错误",IF(AND(W89&lt;&gt;"",OR(LEN(W89)&lt;32,LEN(W89)&gt;128)),"格式错误",IF(OR(X89&lt;&gt;"PASSED",N89="UNKNOWN",AND(O89="TRUE",N89&lt;&gt;"OWNED",N89&lt;&gt;"AUTHORIZED",N89&lt;&gt;"PUBLIC_DOMAIN"),AND(P89="TRUE",N89&lt;&gt;"OWNED",N89&lt;&gt;"AUTHORIZED",N89&lt;&gt;"PUBLIC_DOMAIN"),U89="TRUE",V89="TRUE",AND(T89="TRUE",I89&lt;&gt;"TRUE")),"待人工复核","可导入")))))))</f>
        <v/>
      </c>
      <c r="B89" s="125" t="n"/>
      <c r="C89" s="125" t="n"/>
      <c r="D89" s="125" t="n"/>
      <c r="E89" s="125" t="n"/>
      <c r="F89" s="125" t="n"/>
      <c r="G89" s="126" t="n"/>
      <c r="H89" s="126" t="n"/>
      <c r="I89" s="126" t="n"/>
      <c r="J89" s="126" t="n"/>
      <c r="K89" s="125" t="n"/>
      <c r="L89" s="127" t="n"/>
      <c r="M89" s="127" t="n"/>
      <c r="N89" s="125" t="n"/>
      <c r="O89" s="125" t="n"/>
      <c r="P89" s="125" t="n"/>
      <c r="Q89" s="127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</row>
    <row r="90">
      <c r="A90" s="118">
        <f>IF(COUNTA(B90:Z90)=0,"待填写",IF(OR(B90="",AND(C90="",D90="",E90=""),F90="",G90="",H90="",I90="",J90="",N90="",O90="",P90="",Q90="",R90="",S90="",T90="",U90="",V90="",X90="",AND(OR(J90="SUPPLIER",J90="PLATFORM",J90="WEB"),L90="")),"请补全必填",IF(COUNTIF($B$5:$B$104,B90)&gt;1,"ID重复",IF(OR(AND(C90&lt;&gt;"",COUNTIF('水晶主数据'!$B$5:$B$54,C90)=0),AND(D90&lt;&gt;"",COUNTIF('珠子SKU'!$C$5:$C$104,D90)=0),AND(E90&lt;&gt;"",COUNTIF('库存批次'!$B$5:$B$104,E90)=0)),"关联不存在",IF(OR(ISNA(MATCH(H90,'_枚举'!$J$2:$J$8,0)),ISNA(MATCH(I90,'_枚举'!$C$2:$C$3,0)),ISNA(MATCH(J90,'_枚举'!$K$2:$K$6,0)),ISNA(MATCH(N90,'_枚举'!$L$2:$L$6,0)),ISNA(MATCH(O90,'_枚举'!$C$2:$C$3,0)),ISNA(MATCH(P90,'_枚举'!$C$2:$C$3,0)),ISNA(MATCH(Q90,'_枚举'!$C$2:$C$3,0)),ISNA(MATCH(R90,'_枚举'!$A$2:$A$4,0)),ISNA(MATCH(S90,'_枚举'!$B$2:$B$5,0)),ISNA(MATCH(T90,'_枚举'!$C$2:$C$3,0)),ISNA(MATCH(U90,'_枚举'!$C$2:$C$3,0)),ISNA(MATCH(V90,'_枚举'!$C$2:$C$3,0)),ISNA(MATCH(X90,'_枚举'!$M$2:$M$4,0))),"枚举错误",IF(AND(W90&lt;&gt;"",OR(LEN(W90)&lt;32,LEN(W90)&gt;128)),"格式错误",IF(OR(X90&lt;&gt;"PASSED",N90="UNKNOWN",AND(O90="TRUE",N90&lt;&gt;"OWNED",N90&lt;&gt;"AUTHORIZED",N90&lt;&gt;"PUBLIC_DOMAIN"),AND(P90="TRUE",N90&lt;&gt;"OWNED",N90&lt;&gt;"AUTHORIZED",N90&lt;&gt;"PUBLIC_DOMAIN"),U90="TRUE",V90="TRUE",AND(T90="TRUE",I90&lt;&gt;"TRUE")),"待人工复核","可导入")))))))</f>
        <v/>
      </c>
      <c r="B90" s="125" t="n"/>
      <c r="C90" s="125" t="n"/>
      <c r="D90" s="125" t="n"/>
      <c r="E90" s="125" t="n"/>
      <c r="F90" s="125" t="n"/>
      <c r="G90" s="126" t="n"/>
      <c r="H90" s="126" t="n"/>
      <c r="I90" s="126" t="n"/>
      <c r="J90" s="126" t="n"/>
      <c r="K90" s="125" t="n"/>
      <c r="L90" s="127" t="n"/>
      <c r="M90" s="127" t="n"/>
      <c r="N90" s="125" t="n"/>
      <c r="O90" s="125" t="n"/>
      <c r="P90" s="125" t="n"/>
      <c r="Q90" s="127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</row>
    <row r="91">
      <c r="A91" s="118">
        <f>IF(COUNTA(B91:Z91)=0,"待填写",IF(OR(B91="",AND(C91="",D91="",E91=""),F91="",G91="",H91="",I91="",J91="",N91="",O91="",P91="",Q91="",R91="",S91="",T91="",U91="",V91="",X91="",AND(OR(J91="SUPPLIER",J91="PLATFORM",J91="WEB"),L91="")),"请补全必填",IF(COUNTIF($B$5:$B$104,B91)&gt;1,"ID重复",IF(OR(AND(C91&lt;&gt;"",COUNTIF('水晶主数据'!$B$5:$B$54,C91)=0),AND(D91&lt;&gt;"",COUNTIF('珠子SKU'!$C$5:$C$104,D91)=0),AND(E91&lt;&gt;"",COUNTIF('库存批次'!$B$5:$B$104,E91)=0)),"关联不存在",IF(OR(ISNA(MATCH(H91,'_枚举'!$J$2:$J$8,0)),ISNA(MATCH(I91,'_枚举'!$C$2:$C$3,0)),ISNA(MATCH(J91,'_枚举'!$K$2:$K$6,0)),ISNA(MATCH(N91,'_枚举'!$L$2:$L$6,0)),ISNA(MATCH(O91,'_枚举'!$C$2:$C$3,0)),ISNA(MATCH(P91,'_枚举'!$C$2:$C$3,0)),ISNA(MATCH(Q91,'_枚举'!$C$2:$C$3,0)),ISNA(MATCH(R91,'_枚举'!$A$2:$A$4,0)),ISNA(MATCH(S91,'_枚举'!$B$2:$B$5,0)),ISNA(MATCH(T91,'_枚举'!$C$2:$C$3,0)),ISNA(MATCH(U91,'_枚举'!$C$2:$C$3,0)),ISNA(MATCH(V91,'_枚举'!$C$2:$C$3,0)),ISNA(MATCH(X91,'_枚举'!$M$2:$M$4,0))),"枚举错误",IF(AND(W91&lt;&gt;"",OR(LEN(W91)&lt;32,LEN(W91)&gt;128)),"格式错误",IF(OR(X91&lt;&gt;"PASSED",N91="UNKNOWN",AND(O91="TRUE",N91&lt;&gt;"OWNED",N91&lt;&gt;"AUTHORIZED",N91&lt;&gt;"PUBLIC_DOMAIN"),AND(P91="TRUE",N91&lt;&gt;"OWNED",N91&lt;&gt;"AUTHORIZED",N91&lt;&gt;"PUBLIC_DOMAIN"),U91="TRUE",V91="TRUE",AND(T91="TRUE",I91&lt;&gt;"TRUE")),"待人工复核","可导入")))))))</f>
        <v/>
      </c>
      <c r="B91" s="125" t="n"/>
      <c r="C91" s="125" t="n"/>
      <c r="D91" s="125" t="n"/>
      <c r="E91" s="125" t="n"/>
      <c r="F91" s="125" t="n"/>
      <c r="G91" s="126" t="n"/>
      <c r="H91" s="126" t="n"/>
      <c r="I91" s="126" t="n"/>
      <c r="J91" s="126" t="n"/>
      <c r="K91" s="125" t="n"/>
      <c r="L91" s="127" t="n"/>
      <c r="M91" s="127" t="n"/>
      <c r="N91" s="125" t="n"/>
      <c r="O91" s="125" t="n"/>
      <c r="P91" s="125" t="n"/>
      <c r="Q91" s="127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</row>
    <row r="92">
      <c r="A92" s="118">
        <f>IF(COUNTA(B92:Z92)=0,"待填写",IF(OR(B92="",AND(C92="",D92="",E92=""),F92="",G92="",H92="",I92="",J92="",N92="",O92="",P92="",Q92="",R92="",S92="",T92="",U92="",V92="",X92="",AND(OR(J92="SUPPLIER",J92="PLATFORM",J92="WEB"),L92="")),"请补全必填",IF(COUNTIF($B$5:$B$104,B92)&gt;1,"ID重复",IF(OR(AND(C92&lt;&gt;"",COUNTIF('水晶主数据'!$B$5:$B$54,C92)=0),AND(D92&lt;&gt;"",COUNTIF('珠子SKU'!$C$5:$C$104,D92)=0),AND(E92&lt;&gt;"",COUNTIF('库存批次'!$B$5:$B$104,E92)=0)),"关联不存在",IF(OR(ISNA(MATCH(H92,'_枚举'!$J$2:$J$8,0)),ISNA(MATCH(I92,'_枚举'!$C$2:$C$3,0)),ISNA(MATCH(J92,'_枚举'!$K$2:$K$6,0)),ISNA(MATCH(N92,'_枚举'!$L$2:$L$6,0)),ISNA(MATCH(O92,'_枚举'!$C$2:$C$3,0)),ISNA(MATCH(P92,'_枚举'!$C$2:$C$3,0)),ISNA(MATCH(Q92,'_枚举'!$C$2:$C$3,0)),ISNA(MATCH(R92,'_枚举'!$A$2:$A$4,0)),ISNA(MATCH(S92,'_枚举'!$B$2:$B$5,0)),ISNA(MATCH(T92,'_枚举'!$C$2:$C$3,0)),ISNA(MATCH(U92,'_枚举'!$C$2:$C$3,0)),ISNA(MATCH(V92,'_枚举'!$C$2:$C$3,0)),ISNA(MATCH(X92,'_枚举'!$M$2:$M$4,0))),"枚举错误",IF(AND(W92&lt;&gt;"",OR(LEN(W92)&lt;32,LEN(W92)&gt;128)),"格式错误",IF(OR(X92&lt;&gt;"PASSED",N92="UNKNOWN",AND(O92="TRUE",N92&lt;&gt;"OWNED",N92&lt;&gt;"AUTHORIZED",N92&lt;&gt;"PUBLIC_DOMAIN"),AND(P92="TRUE",N92&lt;&gt;"OWNED",N92&lt;&gt;"AUTHORIZED",N92&lt;&gt;"PUBLIC_DOMAIN"),U92="TRUE",V92="TRUE",AND(T92="TRUE",I92&lt;&gt;"TRUE")),"待人工复核","可导入")))))))</f>
        <v/>
      </c>
      <c r="B92" s="125" t="n"/>
      <c r="C92" s="125" t="n"/>
      <c r="D92" s="125" t="n"/>
      <c r="E92" s="125" t="n"/>
      <c r="F92" s="125" t="n"/>
      <c r="G92" s="126" t="n"/>
      <c r="H92" s="126" t="n"/>
      <c r="I92" s="126" t="n"/>
      <c r="J92" s="126" t="n"/>
      <c r="K92" s="125" t="n"/>
      <c r="L92" s="127" t="n"/>
      <c r="M92" s="127" t="n"/>
      <c r="N92" s="125" t="n"/>
      <c r="O92" s="125" t="n"/>
      <c r="P92" s="125" t="n"/>
      <c r="Q92" s="127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</row>
    <row r="93">
      <c r="A93" s="118">
        <f>IF(COUNTA(B93:Z93)=0,"待填写",IF(OR(B93="",AND(C93="",D93="",E93=""),F93="",G93="",H93="",I93="",J93="",N93="",O93="",P93="",Q93="",R93="",S93="",T93="",U93="",V93="",X93="",AND(OR(J93="SUPPLIER",J93="PLATFORM",J93="WEB"),L93="")),"请补全必填",IF(COUNTIF($B$5:$B$104,B93)&gt;1,"ID重复",IF(OR(AND(C93&lt;&gt;"",COUNTIF('水晶主数据'!$B$5:$B$54,C93)=0),AND(D93&lt;&gt;"",COUNTIF('珠子SKU'!$C$5:$C$104,D93)=0),AND(E93&lt;&gt;"",COUNTIF('库存批次'!$B$5:$B$104,E93)=0)),"关联不存在",IF(OR(ISNA(MATCH(H93,'_枚举'!$J$2:$J$8,0)),ISNA(MATCH(I93,'_枚举'!$C$2:$C$3,0)),ISNA(MATCH(J93,'_枚举'!$K$2:$K$6,0)),ISNA(MATCH(N93,'_枚举'!$L$2:$L$6,0)),ISNA(MATCH(O93,'_枚举'!$C$2:$C$3,0)),ISNA(MATCH(P93,'_枚举'!$C$2:$C$3,0)),ISNA(MATCH(Q93,'_枚举'!$C$2:$C$3,0)),ISNA(MATCH(R93,'_枚举'!$A$2:$A$4,0)),ISNA(MATCH(S93,'_枚举'!$B$2:$B$5,0)),ISNA(MATCH(T93,'_枚举'!$C$2:$C$3,0)),ISNA(MATCH(U93,'_枚举'!$C$2:$C$3,0)),ISNA(MATCH(V93,'_枚举'!$C$2:$C$3,0)),ISNA(MATCH(X93,'_枚举'!$M$2:$M$4,0))),"枚举错误",IF(AND(W93&lt;&gt;"",OR(LEN(W93)&lt;32,LEN(W93)&gt;128)),"格式错误",IF(OR(X93&lt;&gt;"PASSED",N93="UNKNOWN",AND(O93="TRUE",N93&lt;&gt;"OWNED",N93&lt;&gt;"AUTHORIZED",N93&lt;&gt;"PUBLIC_DOMAIN"),AND(P93="TRUE",N93&lt;&gt;"OWNED",N93&lt;&gt;"AUTHORIZED",N93&lt;&gt;"PUBLIC_DOMAIN"),U93="TRUE",V93="TRUE",AND(T93="TRUE",I93&lt;&gt;"TRUE")),"待人工复核","可导入")))))))</f>
        <v/>
      </c>
      <c r="B93" s="125" t="n"/>
      <c r="C93" s="125" t="n"/>
      <c r="D93" s="125" t="n"/>
      <c r="E93" s="125" t="n"/>
      <c r="F93" s="125" t="n"/>
      <c r="G93" s="126" t="n"/>
      <c r="H93" s="126" t="n"/>
      <c r="I93" s="126" t="n"/>
      <c r="J93" s="126" t="n"/>
      <c r="K93" s="125" t="n"/>
      <c r="L93" s="127" t="n"/>
      <c r="M93" s="127" t="n"/>
      <c r="N93" s="125" t="n"/>
      <c r="O93" s="125" t="n"/>
      <c r="P93" s="125" t="n"/>
      <c r="Q93" s="127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</row>
    <row r="94">
      <c r="A94" s="118">
        <f>IF(COUNTA(B94:Z94)=0,"待填写",IF(OR(B94="",AND(C94="",D94="",E94=""),F94="",G94="",H94="",I94="",J94="",N94="",O94="",P94="",Q94="",R94="",S94="",T94="",U94="",V94="",X94="",AND(OR(J94="SUPPLIER",J94="PLATFORM",J94="WEB"),L94="")),"请补全必填",IF(COUNTIF($B$5:$B$104,B94)&gt;1,"ID重复",IF(OR(AND(C94&lt;&gt;"",COUNTIF('水晶主数据'!$B$5:$B$54,C94)=0),AND(D94&lt;&gt;"",COUNTIF('珠子SKU'!$C$5:$C$104,D94)=0),AND(E94&lt;&gt;"",COUNTIF('库存批次'!$B$5:$B$104,E94)=0)),"关联不存在",IF(OR(ISNA(MATCH(H94,'_枚举'!$J$2:$J$8,0)),ISNA(MATCH(I94,'_枚举'!$C$2:$C$3,0)),ISNA(MATCH(J94,'_枚举'!$K$2:$K$6,0)),ISNA(MATCH(N94,'_枚举'!$L$2:$L$6,0)),ISNA(MATCH(O94,'_枚举'!$C$2:$C$3,0)),ISNA(MATCH(P94,'_枚举'!$C$2:$C$3,0)),ISNA(MATCH(Q94,'_枚举'!$C$2:$C$3,0)),ISNA(MATCH(R94,'_枚举'!$A$2:$A$4,0)),ISNA(MATCH(S94,'_枚举'!$B$2:$B$5,0)),ISNA(MATCH(T94,'_枚举'!$C$2:$C$3,0)),ISNA(MATCH(U94,'_枚举'!$C$2:$C$3,0)),ISNA(MATCH(V94,'_枚举'!$C$2:$C$3,0)),ISNA(MATCH(X94,'_枚举'!$M$2:$M$4,0))),"枚举错误",IF(AND(W94&lt;&gt;"",OR(LEN(W94)&lt;32,LEN(W94)&gt;128)),"格式错误",IF(OR(X94&lt;&gt;"PASSED",N94="UNKNOWN",AND(O94="TRUE",N94&lt;&gt;"OWNED",N94&lt;&gt;"AUTHORIZED",N94&lt;&gt;"PUBLIC_DOMAIN"),AND(P94="TRUE",N94&lt;&gt;"OWNED",N94&lt;&gt;"AUTHORIZED",N94&lt;&gt;"PUBLIC_DOMAIN"),U94="TRUE",V94="TRUE",AND(T94="TRUE",I94&lt;&gt;"TRUE")),"待人工复核","可导入")))))))</f>
        <v/>
      </c>
      <c r="B94" s="125" t="n"/>
      <c r="C94" s="125" t="n"/>
      <c r="D94" s="125" t="n"/>
      <c r="E94" s="125" t="n"/>
      <c r="F94" s="125" t="n"/>
      <c r="G94" s="126" t="n"/>
      <c r="H94" s="126" t="n"/>
      <c r="I94" s="126" t="n"/>
      <c r="J94" s="126" t="n"/>
      <c r="K94" s="125" t="n"/>
      <c r="L94" s="127" t="n"/>
      <c r="M94" s="127" t="n"/>
      <c r="N94" s="125" t="n"/>
      <c r="O94" s="125" t="n"/>
      <c r="P94" s="125" t="n"/>
      <c r="Q94" s="127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</row>
    <row r="95">
      <c r="A95" s="118">
        <f>IF(COUNTA(B95:Z95)=0,"待填写",IF(OR(B95="",AND(C95="",D95="",E95=""),F95="",G95="",H95="",I95="",J95="",N95="",O95="",P95="",Q95="",R95="",S95="",T95="",U95="",V95="",X95="",AND(OR(J95="SUPPLIER",J95="PLATFORM",J95="WEB"),L95="")),"请补全必填",IF(COUNTIF($B$5:$B$104,B95)&gt;1,"ID重复",IF(OR(AND(C95&lt;&gt;"",COUNTIF('水晶主数据'!$B$5:$B$54,C95)=0),AND(D95&lt;&gt;"",COUNTIF('珠子SKU'!$C$5:$C$104,D95)=0),AND(E95&lt;&gt;"",COUNTIF('库存批次'!$B$5:$B$104,E95)=0)),"关联不存在",IF(OR(ISNA(MATCH(H95,'_枚举'!$J$2:$J$8,0)),ISNA(MATCH(I95,'_枚举'!$C$2:$C$3,0)),ISNA(MATCH(J95,'_枚举'!$K$2:$K$6,0)),ISNA(MATCH(N95,'_枚举'!$L$2:$L$6,0)),ISNA(MATCH(O95,'_枚举'!$C$2:$C$3,0)),ISNA(MATCH(P95,'_枚举'!$C$2:$C$3,0)),ISNA(MATCH(Q95,'_枚举'!$C$2:$C$3,0)),ISNA(MATCH(R95,'_枚举'!$A$2:$A$4,0)),ISNA(MATCH(S95,'_枚举'!$B$2:$B$5,0)),ISNA(MATCH(T95,'_枚举'!$C$2:$C$3,0)),ISNA(MATCH(U95,'_枚举'!$C$2:$C$3,0)),ISNA(MATCH(V95,'_枚举'!$C$2:$C$3,0)),ISNA(MATCH(X95,'_枚举'!$M$2:$M$4,0))),"枚举错误",IF(AND(W95&lt;&gt;"",OR(LEN(W95)&lt;32,LEN(W95)&gt;128)),"格式错误",IF(OR(X95&lt;&gt;"PASSED",N95="UNKNOWN",AND(O95="TRUE",N95&lt;&gt;"OWNED",N95&lt;&gt;"AUTHORIZED",N95&lt;&gt;"PUBLIC_DOMAIN"),AND(P95="TRUE",N95&lt;&gt;"OWNED",N95&lt;&gt;"AUTHORIZED",N95&lt;&gt;"PUBLIC_DOMAIN"),U95="TRUE",V95="TRUE",AND(T95="TRUE",I95&lt;&gt;"TRUE")),"待人工复核","可导入")))))))</f>
        <v/>
      </c>
      <c r="B95" s="125" t="n"/>
      <c r="C95" s="125" t="n"/>
      <c r="D95" s="125" t="n"/>
      <c r="E95" s="125" t="n"/>
      <c r="F95" s="125" t="n"/>
      <c r="G95" s="126" t="n"/>
      <c r="H95" s="126" t="n"/>
      <c r="I95" s="126" t="n"/>
      <c r="J95" s="126" t="n"/>
      <c r="K95" s="125" t="n"/>
      <c r="L95" s="127" t="n"/>
      <c r="M95" s="127" t="n"/>
      <c r="N95" s="125" t="n"/>
      <c r="O95" s="125" t="n"/>
      <c r="P95" s="125" t="n"/>
      <c r="Q95" s="127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</row>
    <row r="96">
      <c r="A96" s="118">
        <f>IF(COUNTA(B96:Z96)=0,"待填写",IF(OR(B96="",AND(C96="",D96="",E96=""),F96="",G96="",H96="",I96="",J96="",N96="",O96="",P96="",Q96="",R96="",S96="",T96="",U96="",V96="",X96="",AND(OR(J96="SUPPLIER",J96="PLATFORM",J96="WEB"),L96="")),"请补全必填",IF(COUNTIF($B$5:$B$104,B96)&gt;1,"ID重复",IF(OR(AND(C96&lt;&gt;"",COUNTIF('水晶主数据'!$B$5:$B$54,C96)=0),AND(D96&lt;&gt;"",COUNTIF('珠子SKU'!$C$5:$C$104,D96)=0),AND(E96&lt;&gt;"",COUNTIF('库存批次'!$B$5:$B$104,E96)=0)),"关联不存在",IF(OR(ISNA(MATCH(H96,'_枚举'!$J$2:$J$8,0)),ISNA(MATCH(I96,'_枚举'!$C$2:$C$3,0)),ISNA(MATCH(J96,'_枚举'!$K$2:$K$6,0)),ISNA(MATCH(N96,'_枚举'!$L$2:$L$6,0)),ISNA(MATCH(O96,'_枚举'!$C$2:$C$3,0)),ISNA(MATCH(P96,'_枚举'!$C$2:$C$3,0)),ISNA(MATCH(Q96,'_枚举'!$C$2:$C$3,0)),ISNA(MATCH(R96,'_枚举'!$A$2:$A$4,0)),ISNA(MATCH(S96,'_枚举'!$B$2:$B$5,0)),ISNA(MATCH(T96,'_枚举'!$C$2:$C$3,0)),ISNA(MATCH(U96,'_枚举'!$C$2:$C$3,0)),ISNA(MATCH(V96,'_枚举'!$C$2:$C$3,0)),ISNA(MATCH(X96,'_枚举'!$M$2:$M$4,0))),"枚举错误",IF(AND(W96&lt;&gt;"",OR(LEN(W96)&lt;32,LEN(W96)&gt;128)),"格式错误",IF(OR(X96&lt;&gt;"PASSED",N96="UNKNOWN",AND(O96="TRUE",N96&lt;&gt;"OWNED",N96&lt;&gt;"AUTHORIZED",N96&lt;&gt;"PUBLIC_DOMAIN"),AND(P96="TRUE",N96&lt;&gt;"OWNED",N96&lt;&gt;"AUTHORIZED",N96&lt;&gt;"PUBLIC_DOMAIN"),U96="TRUE",V96="TRUE",AND(T96="TRUE",I96&lt;&gt;"TRUE")),"待人工复核","可导入")))))))</f>
        <v/>
      </c>
      <c r="B96" s="125" t="n"/>
      <c r="C96" s="125" t="n"/>
      <c r="D96" s="125" t="n"/>
      <c r="E96" s="125" t="n"/>
      <c r="F96" s="125" t="n"/>
      <c r="G96" s="126" t="n"/>
      <c r="H96" s="126" t="n"/>
      <c r="I96" s="126" t="n"/>
      <c r="J96" s="126" t="n"/>
      <c r="K96" s="125" t="n"/>
      <c r="L96" s="127" t="n"/>
      <c r="M96" s="127" t="n"/>
      <c r="N96" s="125" t="n"/>
      <c r="O96" s="125" t="n"/>
      <c r="P96" s="125" t="n"/>
      <c r="Q96" s="127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</row>
    <row r="97">
      <c r="A97" s="118">
        <f>IF(COUNTA(B97:Z97)=0,"待填写",IF(OR(B97="",AND(C97="",D97="",E97=""),F97="",G97="",H97="",I97="",J97="",N97="",O97="",P97="",Q97="",R97="",S97="",T97="",U97="",V97="",X97="",AND(OR(J97="SUPPLIER",J97="PLATFORM",J97="WEB"),L97="")),"请补全必填",IF(COUNTIF($B$5:$B$104,B97)&gt;1,"ID重复",IF(OR(AND(C97&lt;&gt;"",COUNTIF('水晶主数据'!$B$5:$B$54,C97)=0),AND(D97&lt;&gt;"",COUNTIF('珠子SKU'!$C$5:$C$104,D97)=0),AND(E97&lt;&gt;"",COUNTIF('库存批次'!$B$5:$B$104,E97)=0)),"关联不存在",IF(OR(ISNA(MATCH(H97,'_枚举'!$J$2:$J$8,0)),ISNA(MATCH(I97,'_枚举'!$C$2:$C$3,0)),ISNA(MATCH(J97,'_枚举'!$K$2:$K$6,0)),ISNA(MATCH(N97,'_枚举'!$L$2:$L$6,0)),ISNA(MATCH(O97,'_枚举'!$C$2:$C$3,0)),ISNA(MATCH(P97,'_枚举'!$C$2:$C$3,0)),ISNA(MATCH(Q97,'_枚举'!$C$2:$C$3,0)),ISNA(MATCH(R97,'_枚举'!$A$2:$A$4,0)),ISNA(MATCH(S97,'_枚举'!$B$2:$B$5,0)),ISNA(MATCH(T97,'_枚举'!$C$2:$C$3,0)),ISNA(MATCH(U97,'_枚举'!$C$2:$C$3,0)),ISNA(MATCH(V97,'_枚举'!$C$2:$C$3,0)),ISNA(MATCH(X97,'_枚举'!$M$2:$M$4,0))),"枚举错误",IF(AND(W97&lt;&gt;"",OR(LEN(W97)&lt;32,LEN(W97)&gt;128)),"格式错误",IF(OR(X97&lt;&gt;"PASSED",N97="UNKNOWN",AND(O97="TRUE",N97&lt;&gt;"OWNED",N97&lt;&gt;"AUTHORIZED",N97&lt;&gt;"PUBLIC_DOMAIN"),AND(P97="TRUE",N97&lt;&gt;"OWNED",N97&lt;&gt;"AUTHORIZED",N97&lt;&gt;"PUBLIC_DOMAIN"),U97="TRUE",V97="TRUE",AND(T97="TRUE",I97&lt;&gt;"TRUE")),"待人工复核","可导入")))))))</f>
        <v/>
      </c>
      <c r="B97" s="125" t="n"/>
      <c r="C97" s="125" t="n"/>
      <c r="D97" s="125" t="n"/>
      <c r="E97" s="125" t="n"/>
      <c r="F97" s="125" t="n"/>
      <c r="G97" s="126" t="n"/>
      <c r="H97" s="126" t="n"/>
      <c r="I97" s="126" t="n"/>
      <c r="J97" s="126" t="n"/>
      <c r="K97" s="125" t="n"/>
      <c r="L97" s="127" t="n"/>
      <c r="M97" s="127" t="n"/>
      <c r="N97" s="125" t="n"/>
      <c r="O97" s="125" t="n"/>
      <c r="P97" s="125" t="n"/>
      <c r="Q97" s="127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</row>
    <row r="98">
      <c r="A98" s="118">
        <f>IF(COUNTA(B98:Z98)=0,"待填写",IF(OR(B98="",AND(C98="",D98="",E98=""),F98="",G98="",H98="",I98="",J98="",N98="",O98="",P98="",Q98="",R98="",S98="",T98="",U98="",V98="",X98="",AND(OR(J98="SUPPLIER",J98="PLATFORM",J98="WEB"),L98="")),"请补全必填",IF(COUNTIF($B$5:$B$104,B98)&gt;1,"ID重复",IF(OR(AND(C98&lt;&gt;"",COUNTIF('水晶主数据'!$B$5:$B$54,C98)=0),AND(D98&lt;&gt;"",COUNTIF('珠子SKU'!$C$5:$C$104,D98)=0),AND(E98&lt;&gt;"",COUNTIF('库存批次'!$B$5:$B$104,E98)=0)),"关联不存在",IF(OR(ISNA(MATCH(H98,'_枚举'!$J$2:$J$8,0)),ISNA(MATCH(I98,'_枚举'!$C$2:$C$3,0)),ISNA(MATCH(J98,'_枚举'!$K$2:$K$6,0)),ISNA(MATCH(N98,'_枚举'!$L$2:$L$6,0)),ISNA(MATCH(O98,'_枚举'!$C$2:$C$3,0)),ISNA(MATCH(P98,'_枚举'!$C$2:$C$3,0)),ISNA(MATCH(Q98,'_枚举'!$C$2:$C$3,0)),ISNA(MATCH(R98,'_枚举'!$A$2:$A$4,0)),ISNA(MATCH(S98,'_枚举'!$B$2:$B$5,0)),ISNA(MATCH(T98,'_枚举'!$C$2:$C$3,0)),ISNA(MATCH(U98,'_枚举'!$C$2:$C$3,0)),ISNA(MATCH(V98,'_枚举'!$C$2:$C$3,0)),ISNA(MATCH(X98,'_枚举'!$M$2:$M$4,0))),"枚举错误",IF(AND(W98&lt;&gt;"",OR(LEN(W98)&lt;32,LEN(W98)&gt;128)),"格式错误",IF(OR(X98&lt;&gt;"PASSED",N98="UNKNOWN",AND(O98="TRUE",N98&lt;&gt;"OWNED",N98&lt;&gt;"AUTHORIZED",N98&lt;&gt;"PUBLIC_DOMAIN"),AND(P98="TRUE",N98&lt;&gt;"OWNED",N98&lt;&gt;"AUTHORIZED",N98&lt;&gt;"PUBLIC_DOMAIN"),U98="TRUE",V98="TRUE",AND(T98="TRUE",I98&lt;&gt;"TRUE")),"待人工复核","可导入")))))))</f>
        <v/>
      </c>
      <c r="B98" s="125" t="n"/>
      <c r="C98" s="125" t="n"/>
      <c r="D98" s="125" t="n"/>
      <c r="E98" s="125" t="n"/>
      <c r="F98" s="125" t="n"/>
      <c r="G98" s="126" t="n"/>
      <c r="H98" s="126" t="n"/>
      <c r="I98" s="126" t="n"/>
      <c r="J98" s="126" t="n"/>
      <c r="K98" s="125" t="n"/>
      <c r="L98" s="127" t="n"/>
      <c r="M98" s="127" t="n"/>
      <c r="N98" s="125" t="n"/>
      <c r="O98" s="125" t="n"/>
      <c r="P98" s="125" t="n"/>
      <c r="Q98" s="127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</row>
    <row r="99">
      <c r="A99" s="118">
        <f>IF(COUNTA(B99:Z99)=0,"待填写",IF(OR(B99="",AND(C99="",D99="",E99=""),F99="",G99="",H99="",I99="",J99="",N99="",O99="",P99="",Q99="",R99="",S99="",T99="",U99="",V99="",X99="",AND(OR(J99="SUPPLIER",J99="PLATFORM",J99="WEB"),L99="")),"请补全必填",IF(COUNTIF($B$5:$B$104,B99)&gt;1,"ID重复",IF(OR(AND(C99&lt;&gt;"",COUNTIF('水晶主数据'!$B$5:$B$54,C99)=0),AND(D99&lt;&gt;"",COUNTIF('珠子SKU'!$C$5:$C$104,D99)=0),AND(E99&lt;&gt;"",COUNTIF('库存批次'!$B$5:$B$104,E99)=0)),"关联不存在",IF(OR(ISNA(MATCH(H99,'_枚举'!$J$2:$J$8,0)),ISNA(MATCH(I99,'_枚举'!$C$2:$C$3,0)),ISNA(MATCH(J99,'_枚举'!$K$2:$K$6,0)),ISNA(MATCH(N99,'_枚举'!$L$2:$L$6,0)),ISNA(MATCH(O99,'_枚举'!$C$2:$C$3,0)),ISNA(MATCH(P99,'_枚举'!$C$2:$C$3,0)),ISNA(MATCH(Q99,'_枚举'!$C$2:$C$3,0)),ISNA(MATCH(R99,'_枚举'!$A$2:$A$4,0)),ISNA(MATCH(S99,'_枚举'!$B$2:$B$5,0)),ISNA(MATCH(T99,'_枚举'!$C$2:$C$3,0)),ISNA(MATCH(U99,'_枚举'!$C$2:$C$3,0)),ISNA(MATCH(V99,'_枚举'!$C$2:$C$3,0)),ISNA(MATCH(X99,'_枚举'!$M$2:$M$4,0))),"枚举错误",IF(AND(W99&lt;&gt;"",OR(LEN(W99)&lt;32,LEN(W99)&gt;128)),"格式错误",IF(OR(X99&lt;&gt;"PASSED",N99="UNKNOWN",AND(O99="TRUE",N99&lt;&gt;"OWNED",N99&lt;&gt;"AUTHORIZED",N99&lt;&gt;"PUBLIC_DOMAIN"),AND(P99="TRUE",N99&lt;&gt;"OWNED",N99&lt;&gt;"AUTHORIZED",N99&lt;&gt;"PUBLIC_DOMAIN"),U99="TRUE",V99="TRUE",AND(T99="TRUE",I99&lt;&gt;"TRUE")),"待人工复核","可导入")))))))</f>
        <v/>
      </c>
      <c r="B99" s="125" t="n"/>
      <c r="C99" s="125" t="n"/>
      <c r="D99" s="125" t="n"/>
      <c r="E99" s="125" t="n"/>
      <c r="F99" s="125" t="n"/>
      <c r="G99" s="126" t="n"/>
      <c r="H99" s="126" t="n"/>
      <c r="I99" s="126" t="n"/>
      <c r="J99" s="126" t="n"/>
      <c r="K99" s="125" t="n"/>
      <c r="L99" s="127" t="n"/>
      <c r="M99" s="127" t="n"/>
      <c r="N99" s="125" t="n"/>
      <c r="O99" s="125" t="n"/>
      <c r="P99" s="125" t="n"/>
      <c r="Q99" s="127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</row>
    <row r="100">
      <c r="A100" s="118">
        <f>IF(COUNTA(B100:Z100)=0,"待填写",IF(OR(B100="",AND(C100="",D100="",E100=""),F100="",G100="",H100="",I100="",J100="",N100="",O100="",P100="",Q100="",R100="",S100="",T100="",U100="",V100="",X100="",AND(OR(J100="SUPPLIER",J100="PLATFORM",J100="WEB"),L100="")),"请补全必填",IF(COUNTIF($B$5:$B$104,B100)&gt;1,"ID重复",IF(OR(AND(C100&lt;&gt;"",COUNTIF('水晶主数据'!$B$5:$B$54,C100)=0),AND(D100&lt;&gt;"",COUNTIF('珠子SKU'!$C$5:$C$104,D100)=0),AND(E100&lt;&gt;"",COUNTIF('库存批次'!$B$5:$B$104,E100)=0)),"关联不存在",IF(OR(ISNA(MATCH(H100,'_枚举'!$J$2:$J$8,0)),ISNA(MATCH(I100,'_枚举'!$C$2:$C$3,0)),ISNA(MATCH(J100,'_枚举'!$K$2:$K$6,0)),ISNA(MATCH(N100,'_枚举'!$L$2:$L$6,0)),ISNA(MATCH(O100,'_枚举'!$C$2:$C$3,0)),ISNA(MATCH(P100,'_枚举'!$C$2:$C$3,0)),ISNA(MATCH(Q100,'_枚举'!$C$2:$C$3,0)),ISNA(MATCH(R100,'_枚举'!$A$2:$A$4,0)),ISNA(MATCH(S100,'_枚举'!$B$2:$B$5,0)),ISNA(MATCH(T100,'_枚举'!$C$2:$C$3,0)),ISNA(MATCH(U100,'_枚举'!$C$2:$C$3,0)),ISNA(MATCH(V100,'_枚举'!$C$2:$C$3,0)),ISNA(MATCH(X100,'_枚举'!$M$2:$M$4,0))),"枚举错误",IF(AND(W100&lt;&gt;"",OR(LEN(W100)&lt;32,LEN(W100)&gt;128)),"格式错误",IF(OR(X100&lt;&gt;"PASSED",N100="UNKNOWN",AND(O100="TRUE",N100&lt;&gt;"OWNED",N100&lt;&gt;"AUTHORIZED",N100&lt;&gt;"PUBLIC_DOMAIN"),AND(P100="TRUE",N100&lt;&gt;"OWNED",N100&lt;&gt;"AUTHORIZED",N100&lt;&gt;"PUBLIC_DOMAIN"),U100="TRUE",V100="TRUE",AND(T100="TRUE",I100&lt;&gt;"TRUE")),"待人工复核","可导入")))))))</f>
        <v/>
      </c>
      <c r="B100" s="125" t="n"/>
      <c r="C100" s="125" t="n"/>
      <c r="D100" s="125" t="n"/>
      <c r="E100" s="125" t="n"/>
      <c r="F100" s="125" t="n"/>
      <c r="G100" s="126" t="n"/>
      <c r="H100" s="126" t="n"/>
      <c r="I100" s="126" t="n"/>
      <c r="J100" s="126" t="n"/>
      <c r="K100" s="125" t="n"/>
      <c r="L100" s="127" t="n"/>
      <c r="M100" s="127" t="n"/>
      <c r="N100" s="125" t="n"/>
      <c r="O100" s="125" t="n"/>
      <c r="P100" s="125" t="n"/>
      <c r="Q100" s="127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</row>
    <row r="101">
      <c r="A101" s="118">
        <f>IF(COUNTA(B101:Z101)=0,"待填写",IF(OR(B101="",AND(C101="",D101="",E101=""),F101="",G101="",H101="",I101="",J101="",N101="",O101="",P101="",Q101="",R101="",S101="",T101="",U101="",V101="",X101="",AND(OR(J101="SUPPLIER",J101="PLATFORM",J101="WEB"),L101="")),"请补全必填",IF(COUNTIF($B$5:$B$104,B101)&gt;1,"ID重复",IF(OR(AND(C101&lt;&gt;"",COUNTIF('水晶主数据'!$B$5:$B$54,C101)=0),AND(D101&lt;&gt;"",COUNTIF('珠子SKU'!$C$5:$C$104,D101)=0),AND(E101&lt;&gt;"",COUNTIF('库存批次'!$B$5:$B$104,E101)=0)),"关联不存在",IF(OR(ISNA(MATCH(H101,'_枚举'!$J$2:$J$8,0)),ISNA(MATCH(I101,'_枚举'!$C$2:$C$3,0)),ISNA(MATCH(J101,'_枚举'!$K$2:$K$6,0)),ISNA(MATCH(N101,'_枚举'!$L$2:$L$6,0)),ISNA(MATCH(O101,'_枚举'!$C$2:$C$3,0)),ISNA(MATCH(P101,'_枚举'!$C$2:$C$3,0)),ISNA(MATCH(Q101,'_枚举'!$C$2:$C$3,0)),ISNA(MATCH(R101,'_枚举'!$A$2:$A$4,0)),ISNA(MATCH(S101,'_枚举'!$B$2:$B$5,0)),ISNA(MATCH(T101,'_枚举'!$C$2:$C$3,0)),ISNA(MATCH(U101,'_枚举'!$C$2:$C$3,0)),ISNA(MATCH(V101,'_枚举'!$C$2:$C$3,0)),ISNA(MATCH(X101,'_枚举'!$M$2:$M$4,0))),"枚举错误",IF(AND(W101&lt;&gt;"",OR(LEN(W101)&lt;32,LEN(W101)&gt;128)),"格式错误",IF(OR(X101&lt;&gt;"PASSED",N101="UNKNOWN",AND(O101="TRUE",N101&lt;&gt;"OWNED",N101&lt;&gt;"AUTHORIZED",N101&lt;&gt;"PUBLIC_DOMAIN"),AND(P101="TRUE",N101&lt;&gt;"OWNED",N101&lt;&gt;"AUTHORIZED",N101&lt;&gt;"PUBLIC_DOMAIN"),U101="TRUE",V101="TRUE",AND(T101="TRUE",I101&lt;&gt;"TRUE")),"待人工复核","可导入")))))))</f>
        <v/>
      </c>
      <c r="B101" s="125" t="n"/>
      <c r="C101" s="125" t="n"/>
      <c r="D101" s="125" t="n"/>
      <c r="E101" s="125" t="n"/>
      <c r="F101" s="125" t="n"/>
      <c r="G101" s="126" t="n"/>
      <c r="H101" s="126" t="n"/>
      <c r="I101" s="126" t="n"/>
      <c r="J101" s="126" t="n"/>
      <c r="K101" s="125" t="n"/>
      <c r="L101" s="127" t="n"/>
      <c r="M101" s="127" t="n"/>
      <c r="N101" s="125" t="n"/>
      <c r="O101" s="125" t="n"/>
      <c r="P101" s="125" t="n"/>
      <c r="Q101" s="127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</row>
    <row r="102">
      <c r="A102" s="118">
        <f>IF(COUNTA(B102:Z102)=0,"待填写",IF(OR(B102="",AND(C102="",D102="",E102=""),F102="",G102="",H102="",I102="",J102="",N102="",O102="",P102="",Q102="",R102="",S102="",T102="",U102="",V102="",X102="",AND(OR(J102="SUPPLIER",J102="PLATFORM",J102="WEB"),L102="")),"请补全必填",IF(COUNTIF($B$5:$B$104,B102)&gt;1,"ID重复",IF(OR(AND(C102&lt;&gt;"",COUNTIF('水晶主数据'!$B$5:$B$54,C102)=0),AND(D102&lt;&gt;"",COUNTIF('珠子SKU'!$C$5:$C$104,D102)=0),AND(E102&lt;&gt;"",COUNTIF('库存批次'!$B$5:$B$104,E102)=0)),"关联不存在",IF(OR(ISNA(MATCH(H102,'_枚举'!$J$2:$J$8,0)),ISNA(MATCH(I102,'_枚举'!$C$2:$C$3,0)),ISNA(MATCH(J102,'_枚举'!$K$2:$K$6,0)),ISNA(MATCH(N102,'_枚举'!$L$2:$L$6,0)),ISNA(MATCH(O102,'_枚举'!$C$2:$C$3,0)),ISNA(MATCH(P102,'_枚举'!$C$2:$C$3,0)),ISNA(MATCH(Q102,'_枚举'!$C$2:$C$3,0)),ISNA(MATCH(R102,'_枚举'!$A$2:$A$4,0)),ISNA(MATCH(S102,'_枚举'!$B$2:$B$5,0)),ISNA(MATCH(T102,'_枚举'!$C$2:$C$3,0)),ISNA(MATCH(U102,'_枚举'!$C$2:$C$3,0)),ISNA(MATCH(V102,'_枚举'!$C$2:$C$3,0)),ISNA(MATCH(X102,'_枚举'!$M$2:$M$4,0))),"枚举错误",IF(AND(W102&lt;&gt;"",OR(LEN(W102)&lt;32,LEN(W102)&gt;128)),"格式错误",IF(OR(X102&lt;&gt;"PASSED",N102="UNKNOWN",AND(O102="TRUE",N102&lt;&gt;"OWNED",N102&lt;&gt;"AUTHORIZED",N102&lt;&gt;"PUBLIC_DOMAIN"),AND(P102="TRUE",N102&lt;&gt;"OWNED",N102&lt;&gt;"AUTHORIZED",N102&lt;&gt;"PUBLIC_DOMAIN"),U102="TRUE",V102="TRUE",AND(T102="TRUE",I102&lt;&gt;"TRUE")),"待人工复核","可导入")))))))</f>
        <v/>
      </c>
      <c r="B102" s="125" t="n"/>
      <c r="C102" s="125" t="n"/>
      <c r="D102" s="125" t="n"/>
      <c r="E102" s="125" t="n"/>
      <c r="F102" s="125" t="n"/>
      <c r="G102" s="126" t="n"/>
      <c r="H102" s="126" t="n"/>
      <c r="I102" s="126" t="n"/>
      <c r="J102" s="126" t="n"/>
      <c r="K102" s="125" t="n"/>
      <c r="L102" s="127" t="n"/>
      <c r="M102" s="127" t="n"/>
      <c r="N102" s="125" t="n"/>
      <c r="O102" s="125" t="n"/>
      <c r="P102" s="125" t="n"/>
      <c r="Q102" s="127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</row>
    <row r="103">
      <c r="A103" s="118">
        <f>IF(COUNTA(B103:Z103)=0,"待填写",IF(OR(B103="",AND(C103="",D103="",E103=""),F103="",G103="",H103="",I103="",J103="",N103="",O103="",P103="",Q103="",R103="",S103="",T103="",U103="",V103="",X103="",AND(OR(J103="SUPPLIER",J103="PLATFORM",J103="WEB"),L103="")),"请补全必填",IF(COUNTIF($B$5:$B$104,B103)&gt;1,"ID重复",IF(OR(AND(C103&lt;&gt;"",COUNTIF('水晶主数据'!$B$5:$B$54,C103)=0),AND(D103&lt;&gt;"",COUNTIF('珠子SKU'!$C$5:$C$104,D103)=0),AND(E103&lt;&gt;"",COUNTIF('库存批次'!$B$5:$B$104,E103)=0)),"关联不存在",IF(OR(ISNA(MATCH(H103,'_枚举'!$J$2:$J$8,0)),ISNA(MATCH(I103,'_枚举'!$C$2:$C$3,0)),ISNA(MATCH(J103,'_枚举'!$K$2:$K$6,0)),ISNA(MATCH(N103,'_枚举'!$L$2:$L$6,0)),ISNA(MATCH(O103,'_枚举'!$C$2:$C$3,0)),ISNA(MATCH(P103,'_枚举'!$C$2:$C$3,0)),ISNA(MATCH(Q103,'_枚举'!$C$2:$C$3,0)),ISNA(MATCH(R103,'_枚举'!$A$2:$A$4,0)),ISNA(MATCH(S103,'_枚举'!$B$2:$B$5,0)),ISNA(MATCH(T103,'_枚举'!$C$2:$C$3,0)),ISNA(MATCH(U103,'_枚举'!$C$2:$C$3,0)),ISNA(MATCH(V103,'_枚举'!$C$2:$C$3,0)),ISNA(MATCH(X103,'_枚举'!$M$2:$M$4,0))),"枚举错误",IF(AND(W103&lt;&gt;"",OR(LEN(W103)&lt;32,LEN(W103)&gt;128)),"格式错误",IF(OR(X103&lt;&gt;"PASSED",N103="UNKNOWN",AND(O103="TRUE",N103&lt;&gt;"OWNED",N103&lt;&gt;"AUTHORIZED",N103&lt;&gt;"PUBLIC_DOMAIN"),AND(P103="TRUE",N103&lt;&gt;"OWNED",N103&lt;&gt;"AUTHORIZED",N103&lt;&gt;"PUBLIC_DOMAIN"),U103="TRUE",V103="TRUE",AND(T103="TRUE",I103&lt;&gt;"TRUE")),"待人工复核","可导入")))))))</f>
        <v/>
      </c>
      <c r="B103" s="125" t="n"/>
      <c r="C103" s="125" t="n"/>
      <c r="D103" s="125" t="n"/>
      <c r="E103" s="125" t="n"/>
      <c r="F103" s="125" t="n"/>
      <c r="G103" s="126" t="n"/>
      <c r="H103" s="126" t="n"/>
      <c r="I103" s="126" t="n"/>
      <c r="J103" s="126" t="n"/>
      <c r="K103" s="125" t="n"/>
      <c r="L103" s="127" t="n"/>
      <c r="M103" s="127" t="n"/>
      <c r="N103" s="125" t="n"/>
      <c r="O103" s="125" t="n"/>
      <c r="P103" s="125" t="n"/>
      <c r="Q103" s="127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</row>
    <row r="104">
      <c r="A104" s="118">
        <f>IF(COUNTA(B104:Z104)=0,"待填写",IF(OR(B104="",AND(C104="",D104="",E104=""),F104="",G104="",H104="",I104="",J104="",N104="",O104="",P104="",Q104="",R104="",S104="",T104="",U104="",V104="",X104="",AND(OR(J104="SUPPLIER",J104="PLATFORM",J104="WEB"),L104="")),"请补全必填",IF(COUNTIF($B$5:$B$104,B104)&gt;1,"ID重复",IF(OR(AND(C104&lt;&gt;"",COUNTIF('水晶主数据'!$B$5:$B$54,C104)=0),AND(D104&lt;&gt;"",COUNTIF('珠子SKU'!$C$5:$C$104,D104)=0),AND(E104&lt;&gt;"",COUNTIF('库存批次'!$B$5:$B$104,E104)=0)),"关联不存在",IF(OR(ISNA(MATCH(H104,'_枚举'!$J$2:$J$8,0)),ISNA(MATCH(I104,'_枚举'!$C$2:$C$3,0)),ISNA(MATCH(J104,'_枚举'!$K$2:$K$6,0)),ISNA(MATCH(N104,'_枚举'!$L$2:$L$6,0)),ISNA(MATCH(O104,'_枚举'!$C$2:$C$3,0)),ISNA(MATCH(P104,'_枚举'!$C$2:$C$3,0)),ISNA(MATCH(Q104,'_枚举'!$C$2:$C$3,0)),ISNA(MATCH(R104,'_枚举'!$A$2:$A$4,0)),ISNA(MATCH(S104,'_枚举'!$B$2:$B$5,0)),ISNA(MATCH(T104,'_枚举'!$C$2:$C$3,0)),ISNA(MATCH(U104,'_枚举'!$C$2:$C$3,0)),ISNA(MATCH(V104,'_枚举'!$C$2:$C$3,0)),ISNA(MATCH(X104,'_枚举'!$M$2:$M$4,0))),"枚举错误",IF(AND(W104&lt;&gt;"",OR(LEN(W104)&lt;32,LEN(W104)&gt;128)),"格式错误",IF(OR(X104&lt;&gt;"PASSED",N104="UNKNOWN",AND(O104="TRUE",N104&lt;&gt;"OWNED",N104&lt;&gt;"AUTHORIZED",N104&lt;&gt;"PUBLIC_DOMAIN"),AND(P104="TRUE",N104&lt;&gt;"OWNED",N104&lt;&gt;"AUTHORIZED",N104&lt;&gt;"PUBLIC_DOMAIN"),U104="TRUE",V104="TRUE",AND(T104="TRUE",I104&lt;&gt;"TRUE")),"待人工复核","可导入")))))))</f>
        <v/>
      </c>
      <c r="B104" s="125" t="n"/>
      <c r="C104" s="125" t="n"/>
      <c r="D104" s="125" t="n"/>
      <c r="E104" s="125" t="n"/>
      <c r="F104" s="125" t="n"/>
      <c r="G104" s="126" t="n"/>
      <c r="H104" s="126" t="n"/>
      <c r="I104" s="126" t="n"/>
      <c r="J104" s="126" t="n"/>
      <c r="K104" s="125" t="n"/>
      <c r="L104" s="127" t="n"/>
      <c r="M104" s="127" t="n"/>
      <c r="N104" s="125" t="n"/>
      <c r="O104" s="125" t="n"/>
      <c r="P104" s="125" t="n"/>
      <c r="Q104" s="127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</row>
  </sheetData>
  <autoFilter ref="A4:Z104"/>
  <mergeCells count="2">
    <mergeCell ref="A1:Z2"/>
    <mergeCell ref="A3:Z3"/>
  </mergeCells>
  <conditionalFormatting sqref="A5:A104">
    <cfRule type="cellIs" priority="1" operator="equal" dxfId="9">
      <formula>"可导入"</formula>
    </cfRule>
    <cfRule type="cellIs" priority="2" operator="equal" dxfId="10">
      <formula>"请补全必填"</formula>
    </cfRule>
    <cfRule type="cellIs" priority="3" operator="equal" dxfId="11">
      <formula>"ID重复"</formula>
    </cfRule>
    <cfRule type="cellIs" priority="4" operator="equal" dxfId="11">
      <formula>"关联不存在"</formula>
    </cfRule>
    <cfRule type="cellIs" priority="5" operator="equal" dxfId="12">
      <formula>"格式错误"</formula>
    </cfRule>
    <cfRule type="cellIs" priority="6" operator="equal" dxfId="12">
      <formula>"枚举错误"</formula>
    </cfRule>
    <cfRule type="cellIs" priority="7" operator="equal" dxfId="13">
      <formula>"待人工复核"</formula>
    </cfRule>
    <cfRule type="cellIs" priority="8" operator="equal" dxfId="10">
      <formula>"待填写"</formula>
    </cfRule>
  </conditionalFormatting>
  <dataValidations count="13">
    <dataValidation sqref="H5:H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'_枚举'!$J$2:$J$8</formula1>
    </dataValidation>
    <dataValidation sqref="I5:I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J5:J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'_枚举'!$K$2:$K$6</formula1>
    </dataValidation>
    <dataValidation sqref="N5:N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'_枚举'!$L$2:$L$6</formula1>
    </dataValidation>
    <dataValidation sqref="O5:O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P5:P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Q5:Q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R5:R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'_枚举'!$A$2:$A$4</formula1>
    </dataValidation>
    <dataValidation sqref="S5:S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'_枚举'!$B$2:$B$5</formula1>
    </dataValidation>
    <dataValidation sqref="T5:T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U5:U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V5:V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X5:X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'_枚举'!$M$2:$M$4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B4F68"/>
    <outlinePr summaryBelow="1" summaryRight="1"/>
    <pageSetUpPr/>
  </sheetPr>
  <dimension ref="A1:O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4" customWidth="1" min="4" max="4"/>
    <col width="18" customWidth="1" min="5" max="5"/>
    <col width="20" customWidth="1" min="6" max="6"/>
    <col width="24" customWidth="1" min="7" max="7"/>
    <col width="24" customWidth="1" min="8" max="8"/>
    <col width="24" customWidth="1" min="9" max="9"/>
    <col width="28" customWidth="1" min="10" max="10"/>
    <col width="28" customWidth="1" min="11" max="11"/>
    <col width="28" customWidth="1" min="12" max="12"/>
    <col width="18" customWidth="1" min="13" max="13"/>
    <col width="24" customWidth="1" min="14" max="14"/>
    <col width="42" customWidth="1" min="15" max="15"/>
  </cols>
  <sheetData>
    <row r="1" ht="28" customHeight="1">
      <c r="A1" s="122" t="inlineStr">
        <is>
          <t>AI 分析结果｜可选、隔离、仅作模型估算</t>
        </is>
      </c>
    </row>
    <row r="2" ht="28" customHeight="1"/>
    <row r="3" ht="30" customHeight="1">
      <c r="A3" s="136" t="inlineStr">
        <is>
          <t>所有字段均可选。结果不是矿物学或鉴定结论，不得自动覆盖水晶主数据、珠子SKU或库存批次；低置信度必须待人工复核。</t>
        </is>
      </c>
    </row>
    <row r="4" ht="32" customHeight="1">
      <c r="A4" s="124" t="inlineStr">
        <is>
          <t>analysis_id</t>
        </is>
      </c>
      <c r="B4" s="124" t="inlineStr">
        <is>
          <t>image_id</t>
        </is>
      </c>
      <c r="C4" s="124" t="inlineStr">
        <is>
          <t>sku</t>
        </is>
      </c>
      <c r="D4" s="124" t="inlineStr">
        <is>
          <t>model_name</t>
        </is>
      </c>
      <c r="E4" s="124" t="inlineStr">
        <is>
          <t>model_version</t>
        </is>
      </c>
      <c r="F4" s="124" t="inlineStr">
        <is>
          <t>analyzed_at</t>
        </is>
      </c>
      <c r="G4" s="124" t="inlineStr">
        <is>
          <t>estimated_transparency</t>
        </is>
      </c>
      <c r="H4" s="124" t="inlineStr">
        <is>
          <t>estimated_inclusion</t>
        </is>
      </c>
      <c r="I4" s="124" t="inlineStr">
        <is>
          <t>estimated_crack_level</t>
        </is>
      </c>
      <c r="J4" s="124" t="inlineStr">
        <is>
          <t>estimated_color_uniformity</t>
        </is>
      </c>
      <c r="K4" s="124" t="inlineStr">
        <is>
          <t>estimated_surface_condition</t>
        </is>
      </c>
      <c r="L4" s="124" t="inlineStr">
        <is>
          <t>estimated_visual_quality</t>
        </is>
      </c>
      <c r="M4" s="124" t="inlineStr">
        <is>
          <t>confidence_score</t>
        </is>
      </c>
      <c r="N4" s="124" t="inlineStr">
        <is>
          <t>requires_manual_review</t>
        </is>
      </c>
      <c r="O4" s="124" t="inlineStr">
        <is>
          <t>analysis_note</t>
        </is>
      </c>
    </row>
    <row r="5">
      <c r="A5" s="137" t="n"/>
      <c r="B5" s="125" t="n"/>
      <c r="C5" s="125" t="n"/>
      <c r="D5" s="125" t="n"/>
      <c r="E5" s="125" t="n"/>
      <c r="F5" s="138" t="n"/>
      <c r="G5" s="126" t="n"/>
      <c r="H5" s="126" t="n"/>
      <c r="I5" s="126" t="n"/>
      <c r="J5" s="126" t="n"/>
      <c r="K5" s="125" t="n"/>
      <c r="L5" s="127" t="n"/>
      <c r="M5" s="128" t="n"/>
      <c r="N5" s="125" t="n"/>
      <c r="O5" s="125" t="n"/>
    </row>
    <row r="6">
      <c r="A6" s="137" t="n"/>
      <c r="B6" s="125" t="n"/>
      <c r="C6" s="125" t="n"/>
      <c r="D6" s="125" t="n"/>
      <c r="E6" s="125" t="n"/>
      <c r="F6" s="138" t="n"/>
      <c r="G6" s="126" t="n"/>
      <c r="H6" s="126" t="n"/>
      <c r="I6" s="126" t="n"/>
      <c r="J6" s="126" t="n"/>
      <c r="K6" s="125" t="n"/>
      <c r="L6" s="127" t="n"/>
      <c r="M6" s="128" t="n"/>
      <c r="N6" s="125" t="n"/>
      <c r="O6" s="125" t="n"/>
    </row>
    <row r="7">
      <c r="A7" s="137" t="n"/>
      <c r="B7" s="125" t="n"/>
      <c r="C7" s="125" t="n"/>
      <c r="D7" s="125" t="n"/>
      <c r="E7" s="125" t="n"/>
      <c r="F7" s="138" t="n"/>
      <c r="G7" s="126" t="n"/>
      <c r="H7" s="126" t="n"/>
      <c r="I7" s="126" t="n"/>
      <c r="J7" s="126" t="n"/>
      <c r="K7" s="125" t="n"/>
      <c r="L7" s="127" t="n"/>
      <c r="M7" s="128" t="n"/>
      <c r="N7" s="125" t="n"/>
      <c r="O7" s="125" t="n"/>
    </row>
    <row r="8">
      <c r="A8" s="137" t="n"/>
      <c r="B8" s="125" t="n"/>
      <c r="C8" s="125" t="n"/>
      <c r="D8" s="125" t="n"/>
      <c r="E8" s="125" t="n"/>
      <c r="F8" s="138" t="n"/>
      <c r="G8" s="126" t="n"/>
      <c r="H8" s="126" t="n"/>
      <c r="I8" s="126" t="n"/>
      <c r="J8" s="126" t="n"/>
      <c r="K8" s="125" t="n"/>
      <c r="L8" s="127" t="n"/>
      <c r="M8" s="128" t="n"/>
      <c r="N8" s="125" t="n"/>
      <c r="O8" s="125" t="n"/>
    </row>
    <row r="9">
      <c r="A9" s="137" t="n"/>
      <c r="B9" s="125" t="n"/>
      <c r="C9" s="125" t="n"/>
      <c r="D9" s="125" t="n"/>
      <c r="E9" s="125" t="n"/>
      <c r="F9" s="138" t="n"/>
      <c r="G9" s="126" t="n"/>
      <c r="H9" s="126" t="n"/>
      <c r="I9" s="126" t="n"/>
      <c r="J9" s="126" t="n"/>
      <c r="K9" s="125" t="n"/>
      <c r="L9" s="127" t="n"/>
      <c r="M9" s="128" t="n"/>
      <c r="N9" s="125" t="n"/>
      <c r="O9" s="125" t="n"/>
    </row>
    <row r="10">
      <c r="A10" s="137" t="n"/>
      <c r="B10" s="125" t="n"/>
      <c r="C10" s="125" t="n"/>
      <c r="D10" s="125" t="n"/>
      <c r="E10" s="125" t="n"/>
      <c r="F10" s="138" t="n"/>
      <c r="G10" s="126" t="n"/>
      <c r="H10" s="126" t="n"/>
      <c r="I10" s="126" t="n"/>
      <c r="J10" s="126" t="n"/>
      <c r="K10" s="125" t="n"/>
      <c r="L10" s="127" t="n"/>
      <c r="M10" s="128" t="n"/>
      <c r="N10" s="125" t="n"/>
      <c r="O10" s="125" t="n"/>
    </row>
    <row r="11">
      <c r="A11" s="137" t="n"/>
      <c r="B11" s="125" t="n"/>
      <c r="C11" s="125" t="n"/>
      <c r="D11" s="125" t="n"/>
      <c r="E11" s="125" t="n"/>
      <c r="F11" s="138" t="n"/>
      <c r="G11" s="126" t="n"/>
      <c r="H11" s="126" t="n"/>
      <c r="I11" s="126" t="n"/>
      <c r="J11" s="126" t="n"/>
      <c r="K11" s="125" t="n"/>
      <c r="L11" s="127" t="n"/>
      <c r="M11" s="128" t="n"/>
      <c r="N11" s="125" t="n"/>
      <c r="O11" s="125" t="n"/>
    </row>
    <row r="12">
      <c r="A12" s="137" t="n"/>
      <c r="B12" s="125" t="n"/>
      <c r="C12" s="125" t="n"/>
      <c r="D12" s="125" t="n"/>
      <c r="E12" s="125" t="n"/>
      <c r="F12" s="138" t="n"/>
      <c r="G12" s="126" t="n"/>
      <c r="H12" s="126" t="n"/>
      <c r="I12" s="126" t="n"/>
      <c r="J12" s="126" t="n"/>
      <c r="K12" s="125" t="n"/>
      <c r="L12" s="127" t="n"/>
      <c r="M12" s="128" t="n"/>
      <c r="N12" s="125" t="n"/>
      <c r="O12" s="125" t="n"/>
    </row>
    <row r="13">
      <c r="A13" s="137" t="n"/>
      <c r="B13" s="125" t="n"/>
      <c r="C13" s="125" t="n"/>
      <c r="D13" s="125" t="n"/>
      <c r="E13" s="125" t="n"/>
      <c r="F13" s="138" t="n"/>
      <c r="G13" s="126" t="n"/>
      <c r="H13" s="126" t="n"/>
      <c r="I13" s="126" t="n"/>
      <c r="J13" s="126" t="n"/>
      <c r="K13" s="125" t="n"/>
      <c r="L13" s="127" t="n"/>
      <c r="M13" s="128" t="n"/>
      <c r="N13" s="125" t="n"/>
      <c r="O13" s="125" t="n"/>
    </row>
    <row r="14">
      <c r="A14" s="137" t="n"/>
      <c r="B14" s="125" t="n"/>
      <c r="C14" s="125" t="n"/>
      <c r="D14" s="125" t="n"/>
      <c r="E14" s="125" t="n"/>
      <c r="F14" s="138" t="n"/>
      <c r="G14" s="126" t="n"/>
      <c r="H14" s="126" t="n"/>
      <c r="I14" s="126" t="n"/>
      <c r="J14" s="126" t="n"/>
      <c r="K14" s="125" t="n"/>
      <c r="L14" s="127" t="n"/>
      <c r="M14" s="128" t="n"/>
      <c r="N14" s="125" t="n"/>
      <c r="O14" s="125" t="n"/>
    </row>
    <row r="15">
      <c r="A15" s="137" t="n"/>
      <c r="B15" s="125" t="n"/>
      <c r="C15" s="125" t="n"/>
      <c r="D15" s="125" t="n"/>
      <c r="E15" s="125" t="n"/>
      <c r="F15" s="138" t="n"/>
      <c r="G15" s="126" t="n"/>
      <c r="H15" s="126" t="n"/>
      <c r="I15" s="126" t="n"/>
      <c r="J15" s="126" t="n"/>
      <c r="K15" s="125" t="n"/>
      <c r="L15" s="127" t="n"/>
      <c r="M15" s="128" t="n"/>
      <c r="N15" s="125" t="n"/>
      <c r="O15" s="125" t="n"/>
    </row>
    <row r="16">
      <c r="A16" s="137" t="n"/>
      <c r="B16" s="125" t="n"/>
      <c r="C16" s="125" t="n"/>
      <c r="D16" s="125" t="n"/>
      <c r="E16" s="125" t="n"/>
      <c r="F16" s="138" t="n"/>
      <c r="G16" s="126" t="n"/>
      <c r="H16" s="126" t="n"/>
      <c r="I16" s="126" t="n"/>
      <c r="J16" s="126" t="n"/>
      <c r="K16" s="125" t="n"/>
      <c r="L16" s="127" t="n"/>
      <c r="M16" s="128" t="n"/>
      <c r="N16" s="125" t="n"/>
      <c r="O16" s="125" t="n"/>
    </row>
    <row r="17">
      <c r="A17" s="137" t="n"/>
      <c r="B17" s="125" t="n"/>
      <c r="C17" s="125" t="n"/>
      <c r="D17" s="125" t="n"/>
      <c r="E17" s="125" t="n"/>
      <c r="F17" s="138" t="n"/>
      <c r="G17" s="126" t="n"/>
      <c r="H17" s="126" t="n"/>
      <c r="I17" s="126" t="n"/>
      <c r="J17" s="126" t="n"/>
      <c r="K17" s="125" t="n"/>
      <c r="L17" s="127" t="n"/>
      <c r="M17" s="128" t="n"/>
      <c r="N17" s="125" t="n"/>
      <c r="O17" s="125" t="n"/>
    </row>
    <row r="18">
      <c r="A18" s="137" t="n"/>
      <c r="B18" s="125" t="n"/>
      <c r="C18" s="125" t="n"/>
      <c r="D18" s="125" t="n"/>
      <c r="E18" s="125" t="n"/>
      <c r="F18" s="138" t="n"/>
      <c r="G18" s="126" t="n"/>
      <c r="H18" s="126" t="n"/>
      <c r="I18" s="126" t="n"/>
      <c r="J18" s="126" t="n"/>
      <c r="K18" s="125" t="n"/>
      <c r="L18" s="127" t="n"/>
      <c r="M18" s="128" t="n"/>
      <c r="N18" s="125" t="n"/>
      <c r="O18" s="125" t="n"/>
    </row>
    <row r="19">
      <c r="A19" s="137" t="n"/>
      <c r="B19" s="125" t="n"/>
      <c r="C19" s="125" t="n"/>
      <c r="D19" s="125" t="n"/>
      <c r="E19" s="125" t="n"/>
      <c r="F19" s="138" t="n"/>
      <c r="G19" s="126" t="n"/>
      <c r="H19" s="126" t="n"/>
      <c r="I19" s="126" t="n"/>
      <c r="J19" s="126" t="n"/>
      <c r="K19" s="125" t="n"/>
      <c r="L19" s="127" t="n"/>
      <c r="M19" s="128" t="n"/>
      <c r="N19" s="125" t="n"/>
      <c r="O19" s="125" t="n"/>
    </row>
    <row r="20">
      <c r="A20" s="137" t="n"/>
      <c r="B20" s="125" t="n"/>
      <c r="C20" s="125" t="n"/>
      <c r="D20" s="125" t="n"/>
      <c r="E20" s="125" t="n"/>
      <c r="F20" s="138" t="n"/>
      <c r="G20" s="126" t="n"/>
      <c r="H20" s="126" t="n"/>
      <c r="I20" s="126" t="n"/>
      <c r="J20" s="126" t="n"/>
      <c r="K20" s="125" t="n"/>
      <c r="L20" s="127" t="n"/>
      <c r="M20" s="128" t="n"/>
      <c r="N20" s="125" t="n"/>
      <c r="O20" s="125" t="n"/>
    </row>
    <row r="21">
      <c r="A21" s="137" t="n"/>
      <c r="B21" s="125" t="n"/>
      <c r="C21" s="125" t="n"/>
      <c r="D21" s="125" t="n"/>
      <c r="E21" s="125" t="n"/>
      <c r="F21" s="138" t="n"/>
      <c r="G21" s="126" t="n"/>
      <c r="H21" s="126" t="n"/>
      <c r="I21" s="126" t="n"/>
      <c r="J21" s="126" t="n"/>
      <c r="K21" s="125" t="n"/>
      <c r="L21" s="127" t="n"/>
      <c r="M21" s="128" t="n"/>
      <c r="N21" s="125" t="n"/>
      <c r="O21" s="125" t="n"/>
    </row>
    <row r="22">
      <c r="A22" s="137" t="n"/>
      <c r="B22" s="125" t="n"/>
      <c r="C22" s="125" t="n"/>
      <c r="D22" s="125" t="n"/>
      <c r="E22" s="125" t="n"/>
      <c r="F22" s="138" t="n"/>
      <c r="G22" s="126" t="n"/>
      <c r="H22" s="126" t="n"/>
      <c r="I22" s="126" t="n"/>
      <c r="J22" s="126" t="n"/>
      <c r="K22" s="125" t="n"/>
      <c r="L22" s="127" t="n"/>
      <c r="M22" s="128" t="n"/>
      <c r="N22" s="125" t="n"/>
      <c r="O22" s="125" t="n"/>
    </row>
    <row r="23">
      <c r="A23" s="137" t="n"/>
      <c r="B23" s="125" t="n"/>
      <c r="C23" s="125" t="n"/>
      <c r="D23" s="125" t="n"/>
      <c r="E23" s="125" t="n"/>
      <c r="F23" s="138" t="n"/>
      <c r="G23" s="126" t="n"/>
      <c r="H23" s="126" t="n"/>
      <c r="I23" s="126" t="n"/>
      <c r="J23" s="126" t="n"/>
      <c r="K23" s="125" t="n"/>
      <c r="L23" s="127" t="n"/>
      <c r="M23" s="128" t="n"/>
      <c r="N23" s="125" t="n"/>
      <c r="O23" s="125" t="n"/>
    </row>
    <row r="24">
      <c r="A24" s="137" t="n"/>
      <c r="B24" s="125" t="n"/>
      <c r="C24" s="125" t="n"/>
      <c r="D24" s="125" t="n"/>
      <c r="E24" s="125" t="n"/>
      <c r="F24" s="138" t="n"/>
      <c r="G24" s="126" t="n"/>
      <c r="H24" s="126" t="n"/>
      <c r="I24" s="126" t="n"/>
      <c r="J24" s="126" t="n"/>
      <c r="K24" s="125" t="n"/>
      <c r="L24" s="127" t="n"/>
      <c r="M24" s="128" t="n"/>
      <c r="N24" s="125" t="n"/>
      <c r="O24" s="125" t="n"/>
    </row>
    <row r="25">
      <c r="A25" s="137" t="n"/>
      <c r="B25" s="125" t="n"/>
      <c r="C25" s="125" t="n"/>
      <c r="D25" s="125" t="n"/>
      <c r="E25" s="125" t="n"/>
      <c r="F25" s="138" t="n"/>
      <c r="G25" s="126" t="n"/>
      <c r="H25" s="126" t="n"/>
      <c r="I25" s="126" t="n"/>
      <c r="J25" s="126" t="n"/>
      <c r="K25" s="125" t="n"/>
      <c r="L25" s="127" t="n"/>
      <c r="M25" s="128" t="n"/>
      <c r="N25" s="125" t="n"/>
      <c r="O25" s="125" t="n"/>
    </row>
    <row r="26">
      <c r="A26" s="137" t="n"/>
      <c r="B26" s="125" t="n"/>
      <c r="C26" s="125" t="n"/>
      <c r="D26" s="125" t="n"/>
      <c r="E26" s="125" t="n"/>
      <c r="F26" s="138" t="n"/>
      <c r="G26" s="126" t="n"/>
      <c r="H26" s="126" t="n"/>
      <c r="I26" s="126" t="n"/>
      <c r="J26" s="126" t="n"/>
      <c r="K26" s="125" t="n"/>
      <c r="L26" s="127" t="n"/>
      <c r="M26" s="128" t="n"/>
      <c r="N26" s="125" t="n"/>
      <c r="O26" s="125" t="n"/>
    </row>
    <row r="27">
      <c r="A27" s="137" t="n"/>
      <c r="B27" s="125" t="n"/>
      <c r="C27" s="125" t="n"/>
      <c r="D27" s="125" t="n"/>
      <c r="E27" s="125" t="n"/>
      <c r="F27" s="138" t="n"/>
      <c r="G27" s="126" t="n"/>
      <c r="H27" s="126" t="n"/>
      <c r="I27" s="126" t="n"/>
      <c r="J27" s="126" t="n"/>
      <c r="K27" s="125" t="n"/>
      <c r="L27" s="127" t="n"/>
      <c r="M27" s="128" t="n"/>
      <c r="N27" s="125" t="n"/>
      <c r="O27" s="125" t="n"/>
    </row>
    <row r="28">
      <c r="A28" s="137" t="n"/>
      <c r="B28" s="125" t="n"/>
      <c r="C28" s="125" t="n"/>
      <c r="D28" s="125" t="n"/>
      <c r="E28" s="125" t="n"/>
      <c r="F28" s="138" t="n"/>
      <c r="G28" s="126" t="n"/>
      <c r="H28" s="126" t="n"/>
      <c r="I28" s="126" t="n"/>
      <c r="J28" s="126" t="n"/>
      <c r="K28" s="125" t="n"/>
      <c r="L28" s="127" t="n"/>
      <c r="M28" s="128" t="n"/>
      <c r="N28" s="125" t="n"/>
      <c r="O28" s="125" t="n"/>
    </row>
    <row r="29">
      <c r="A29" s="137" t="n"/>
      <c r="B29" s="125" t="n"/>
      <c r="C29" s="125" t="n"/>
      <c r="D29" s="125" t="n"/>
      <c r="E29" s="125" t="n"/>
      <c r="F29" s="138" t="n"/>
      <c r="G29" s="126" t="n"/>
      <c r="H29" s="126" t="n"/>
      <c r="I29" s="126" t="n"/>
      <c r="J29" s="126" t="n"/>
      <c r="K29" s="125" t="n"/>
      <c r="L29" s="127" t="n"/>
      <c r="M29" s="128" t="n"/>
      <c r="N29" s="125" t="n"/>
      <c r="O29" s="125" t="n"/>
    </row>
    <row r="30">
      <c r="A30" s="137" t="n"/>
      <c r="B30" s="125" t="n"/>
      <c r="C30" s="125" t="n"/>
      <c r="D30" s="125" t="n"/>
      <c r="E30" s="125" t="n"/>
      <c r="F30" s="138" t="n"/>
      <c r="G30" s="126" t="n"/>
      <c r="H30" s="126" t="n"/>
      <c r="I30" s="126" t="n"/>
      <c r="J30" s="126" t="n"/>
      <c r="K30" s="125" t="n"/>
      <c r="L30" s="127" t="n"/>
      <c r="M30" s="128" t="n"/>
      <c r="N30" s="125" t="n"/>
      <c r="O30" s="125" t="n"/>
    </row>
    <row r="31">
      <c r="A31" s="137" t="n"/>
      <c r="B31" s="125" t="n"/>
      <c r="C31" s="125" t="n"/>
      <c r="D31" s="125" t="n"/>
      <c r="E31" s="125" t="n"/>
      <c r="F31" s="138" t="n"/>
      <c r="G31" s="126" t="n"/>
      <c r="H31" s="126" t="n"/>
      <c r="I31" s="126" t="n"/>
      <c r="J31" s="126" t="n"/>
      <c r="K31" s="125" t="n"/>
      <c r="L31" s="127" t="n"/>
      <c r="M31" s="128" t="n"/>
      <c r="N31" s="125" t="n"/>
      <c r="O31" s="125" t="n"/>
    </row>
    <row r="32">
      <c r="A32" s="137" t="n"/>
      <c r="B32" s="125" t="n"/>
      <c r="C32" s="125" t="n"/>
      <c r="D32" s="125" t="n"/>
      <c r="E32" s="125" t="n"/>
      <c r="F32" s="138" t="n"/>
      <c r="G32" s="126" t="n"/>
      <c r="H32" s="126" t="n"/>
      <c r="I32" s="126" t="n"/>
      <c r="J32" s="126" t="n"/>
      <c r="K32" s="125" t="n"/>
      <c r="L32" s="127" t="n"/>
      <c r="M32" s="128" t="n"/>
      <c r="N32" s="125" t="n"/>
      <c r="O32" s="125" t="n"/>
    </row>
    <row r="33">
      <c r="A33" s="137" t="n"/>
      <c r="B33" s="125" t="n"/>
      <c r="C33" s="125" t="n"/>
      <c r="D33" s="125" t="n"/>
      <c r="E33" s="125" t="n"/>
      <c r="F33" s="138" t="n"/>
      <c r="G33" s="126" t="n"/>
      <c r="H33" s="126" t="n"/>
      <c r="I33" s="126" t="n"/>
      <c r="J33" s="126" t="n"/>
      <c r="K33" s="125" t="n"/>
      <c r="L33" s="127" t="n"/>
      <c r="M33" s="128" t="n"/>
      <c r="N33" s="125" t="n"/>
      <c r="O33" s="125" t="n"/>
    </row>
    <row r="34">
      <c r="A34" s="137" t="n"/>
      <c r="B34" s="125" t="n"/>
      <c r="C34" s="125" t="n"/>
      <c r="D34" s="125" t="n"/>
      <c r="E34" s="125" t="n"/>
      <c r="F34" s="138" t="n"/>
      <c r="G34" s="126" t="n"/>
      <c r="H34" s="126" t="n"/>
      <c r="I34" s="126" t="n"/>
      <c r="J34" s="126" t="n"/>
      <c r="K34" s="125" t="n"/>
      <c r="L34" s="127" t="n"/>
      <c r="M34" s="128" t="n"/>
      <c r="N34" s="125" t="n"/>
      <c r="O34" s="125" t="n"/>
    </row>
    <row r="35">
      <c r="A35" s="137" t="n"/>
      <c r="B35" s="125" t="n"/>
      <c r="C35" s="125" t="n"/>
      <c r="D35" s="125" t="n"/>
      <c r="E35" s="125" t="n"/>
      <c r="F35" s="138" t="n"/>
      <c r="G35" s="126" t="n"/>
      <c r="H35" s="126" t="n"/>
      <c r="I35" s="126" t="n"/>
      <c r="J35" s="126" t="n"/>
      <c r="K35" s="125" t="n"/>
      <c r="L35" s="127" t="n"/>
      <c r="M35" s="128" t="n"/>
      <c r="N35" s="125" t="n"/>
      <c r="O35" s="125" t="n"/>
    </row>
    <row r="36">
      <c r="A36" s="137" t="n"/>
      <c r="B36" s="125" t="n"/>
      <c r="C36" s="125" t="n"/>
      <c r="D36" s="125" t="n"/>
      <c r="E36" s="125" t="n"/>
      <c r="F36" s="138" t="n"/>
      <c r="G36" s="126" t="n"/>
      <c r="H36" s="126" t="n"/>
      <c r="I36" s="126" t="n"/>
      <c r="J36" s="126" t="n"/>
      <c r="K36" s="125" t="n"/>
      <c r="L36" s="127" t="n"/>
      <c r="M36" s="128" t="n"/>
      <c r="N36" s="125" t="n"/>
      <c r="O36" s="125" t="n"/>
    </row>
    <row r="37">
      <c r="A37" s="137" t="n"/>
      <c r="B37" s="125" t="n"/>
      <c r="C37" s="125" t="n"/>
      <c r="D37" s="125" t="n"/>
      <c r="E37" s="125" t="n"/>
      <c r="F37" s="138" t="n"/>
      <c r="G37" s="126" t="n"/>
      <c r="H37" s="126" t="n"/>
      <c r="I37" s="126" t="n"/>
      <c r="J37" s="126" t="n"/>
      <c r="K37" s="125" t="n"/>
      <c r="L37" s="127" t="n"/>
      <c r="M37" s="128" t="n"/>
      <c r="N37" s="125" t="n"/>
      <c r="O37" s="125" t="n"/>
    </row>
    <row r="38">
      <c r="A38" s="137" t="n"/>
      <c r="B38" s="125" t="n"/>
      <c r="C38" s="125" t="n"/>
      <c r="D38" s="125" t="n"/>
      <c r="E38" s="125" t="n"/>
      <c r="F38" s="138" t="n"/>
      <c r="G38" s="126" t="n"/>
      <c r="H38" s="126" t="n"/>
      <c r="I38" s="126" t="n"/>
      <c r="J38" s="126" t="n"/>
      <c r="K38" s="125" t="n"/>
      <c r="L38" s="127" t="n"/>
      <c r="M38" s="128" t="n"/>
      <c r="N38" s="125" t="n"/>
      <c r="O38" s="125" t="n"/>
    </row>
    <row r="39">
      <c r="A39" s="137" t="n"/>
      <c r="B39" s="125" t="n"/>
      <c r="C39" s="125" t="n"/>
      <c r="D39" s="125" t="n"/>
      <c r="E39" s="125" t="n"/>
      <c r="F39" s="138" t="n"/>
      <c r="G39" s="126" t="n"/>
      <c r="H39" s="126" t="n"/>
      <c r="I39" s="126" t="n"/>
      <c r="J39" s="126" t="n"/>
      <c r="K39" s="125" t="n"/>
      <c r="L39" s="127" t="n"/>
      <c r="M39" s="128" t="n"/>
      <c r="N39" s="125" t="n"/>
      <c r="O39" s="125" t="n"/>
    </row>
    <row r="40">
      <c r="A40" s="137" t="n"/>
      <c r="B40" s="125" t="n"/>
      <c r="C40" s="125" t="n"/>
      <c r="D40" s="125" t="n"/>
      <c r="E40" s="125" t="n"/>
      <c r="F40" s="138" t="n"/>
      <c r="G40" s="126" t="n"/>
      <c r="H40" s="126" t="n"/>
      <c r="I40" s="126" t="n"/>
      <c r="J40" s="126" t="n"/>
      <c r="K40" s="125" t="n"/>
      <c r="L40" s="127" t="n"/>
      <c r="M40" s="128" t="n"/>
      <c r="N40" s="125" t="n"/>
      <c r="O40" s="125" t="n"/>
    </row>
    <row r="41">
      <c r="A41" s="137" t="n"/>
      <c r="B41" s="125" t="n"/>
      <c r="C41" s="125" t="n"/>
      <c r="D41" s="125" t="n"/>
      <c r="E41" s="125" t="n"/>
      <c r="F41" s="138" t="n"/>
      <c r="G41" s="126" t="n"/>
      <c r="H41" s="126" t="n"/>
      <c r="I41" s="126" t="n"/>
      <c r="J41" s="126" t="n"/>
      <c r="K41" s="125" t="n"/>
      <c r="L41" s="127" t="n"/>
      <c r="M41" s="128" t="n"/>
      <c r="N41" s="125" t="n"/>
      <c r="O41" s="125" t="n"/>
    </row>
    <row r="42">
      <c r="A42" s="137" t="n"/>
      <c r="B42" s="125" t="n"/>
      <c r="C42" s="125" t="n"/>
      <c r="D42" s="125" t="n"/>
      <c r="E42" s="125" t="n"/>
      <c r="F42" s="138" t="n"/>
      <c r="G42" s="126" t="n"/>
      <c r="H42" s="126" t="n"/>
      <c r="I42" s="126" t="n"/>
      <c r="J42" s="126" t="n"/>
      <c r="K42" s="125" t="n"/>
      <c r="L42" s="127" t="n"/>
      <c r="M42" s="128" t="n"/>
      <c r="N42" s="125" t="n"/>
      <c r="O42" s="125" t="n"/>
    </row>
    <row r="43">
      <c r="A43" s="137" t="n"/>
      <c r="B43" s="125" t="n"/>
      <c r="C43" s="125" t="n"/>
      <c r="D43" s="125" t="n"/>
      <c r="E43" s="125" t="n"/>
      <c r="F43" s="138" t="n"/>
      <c r="G43" s="126" t="n"/>
      <c r="H43" s="126" t="n"/>
      <c r="I43" s="126" t="n"/>
      <c r="J43" s="126" t="n"/>
      <c r="K43" s="125" t="n"/>
      <c r="L43" s="127" t="n"/>
      <c r="M43" s="128" t="n"/>
      <c r="N43" s="125" t="n"/>
      <c r="O43" s="125" t="n"/>
    </row>
    <row r="44">
      <c r="A44" s="137" t="n"/>
      <c r="B44" s="125" t="n"/>
      <c r="C44" s="125" t="n"/>
      <c r="D44" s="125" t="n"/>
      <c r="E44" s="125" t="n"/>
      <c r="F44" s="138" t="n"/>
      <c r="G44" s="126" t="n"/>
      <c r="H44" s="126" t="n"/>
      <c r="I44" s="126" t="n"/>
      <c r="J44" s="126" t="n"/>
      <c r="K44" s="125" t="n"/>
      <c r="L44" s="127" t="n"/>
      <c r="M44" s="128" t="n"/>
      <c r="N44" s="125" t="n"/>
      <c r="O44" s="125" t="n"/>
    </row>
    <row r="45">
      <c r="A45" s="137" t="n"/>
      <c r="B45" s="125" t="n"/>
      <c r="C45" s="125" t="n"/>
      <c r="D45" s="125" t="n"/>
      <c r="E45" s="125" t="n"/>
      <c r="F45" s="138" t="n"/>
      <c r="G45" s="126" t="n"/>
      <c r="H45" s="126" t="n"/>
      <c r="I45" s="126" t="n"/>
      <c r="J45" s="126" t="n"/>
      <c r="K45" s="125" t="n"/>
      <c r="L45" s="127" t="n"/>
      <c r="M45" s="128" t="n"/>
      <c r="N45" s="125" t="n"/>
      <c r="O45" s="125" t="n"/>
    </row>
    <row r="46">
      <c r="A46" s="137" t="n"/>
      <c r="B46" s="125" t="n"/>
      <c r="C46" s="125" t="n"/>
      <c r="D46" s="125" t="n"/>
      <c r="E46" s="125" t="n"/>
      <c r="F46" s="138" t="n"/>
      <c r="G46" s="126" t="n"/>
      <c r="H46" s="126" t="n"/>
      <c r="I46" s="126" t="n"/>
      <c r="J46" s="126" t="n"/>
      <c r="K46" s="125" t="n"/>
      <c r="L46" s="127" t="n"/>
      <c r="M46" s="128" t="n"/>
      <c r="N46" s="125" t="n"/>
      <c r="O46" s="125" t="n"/>
    </row>
    <row r="47">
      <c r="A47" s="137" t="n"/>
      <c r="B47" s="125" t="n"/>
      <c r="C47" s="125" t="n"/>
      <c r="D47" s="125" t="n"/>
      <c r="E47" s="125" t="n"/>
      <c r="F47" s="138" t="n"/>
      <c r="G47" s="126" t="n"/>
      <c r="H47" s="126" t="n"/>
      <c r="I47" s="126" t="n"/>
      <c r="J47" s="126" t="n"/>
      <c r="K47" s="125" t="n"/>
      <c r="L47" s="127" t="n"/>
      <c r="M47" s="128" t="n"/>
      <c r="N47" s="125" t="n"/>
      <c r="O47" s="125" t="n"/>
    </row>
    <row r="48">
      <c r="A48" s="137" t="n"/>
      <c r="B48" s="125" t="n"/>
      <c r="C48" s="125" t="n"/>
      <c r="D48" s="125" t="n"/>
      <c r="E48" s="125" t="n"/>
      <c r="F48" s="138" t="n"/>
      <c r="G48" s="126" t="n"/>
      <c r="H48" s="126" t="n"/>
      <c r="I48" s="126" t="n"/>
      <c r="J48" s="126" t="n"/>
      <c r="K48" s="125" t="n"/>
      <c r="L48" s="127" t="n"/>
      <c r="M48" s="128" t="n"/>
      <c r="N48" s="125" t="n"/>
      <c r="O48" s="125" t="n"/>
    </row>
    <row r="49">
      <c r="A49" s="137" t="n"/>
      <c r="B49" s="125" t="n"/>
      <c r="C49" s="125" t="n"/>
      <c r="D49" s="125" t="n"/>
      <c r="E49" s="125" t="n"/>
      <c r="F49" s="138" t="n"/>
      <c r="G49" s="126" t="n"/>
      <c r="H49" s="126" t="n"/>
      <c r="I49" s="126" t="n"/>
      <c r="J49" s="126" t="n"/>
      <c r="K49" s="125" t="n"/>
      <c r="L49" s="127" t="n"/>
      <c r="M49" s="128" t="n"/>
      <c r="N49" s="125" t="n"/>
      <c r="O49" s="125" t="n"/>
    </row>
    <row r="50">
      <c r="A50" s="137" t="n"/>
      <c r="B50" s="125" t="n"/>
      <c r="C50" s="125" t="n"/>
      <c r="D50" s="125" t="n"/>
      <c r="E50" s="125" t="n"/>
      <c r="F50" s="138" t="n"/>
      <c r="G50" s="126" t="n"/>
      <c r="H50" s="126" t="n"/>
      <c r="I50" s="126" t="n"/>
      <c r="J50" s="126" t="n"/>
      <c r="K50" s="125" t="n"/>
      <c r="L50" s="127" t="n"/>
      <c r="M50" s="128" t="n"/>
      <c r="N50" s="125" t="n"/>
      <c r="O50" s="125" t="n"/>
    </row>
    <row r="51">
      <c r="A51" s="137" t="n"/>
      <c r="B51" s="125" t="n"/>
      <c r="C51" s="125" t="n"/>
      <c r="D51" s="125" t="n"/>
      <c r="E51" s="125" t="n"/>
      <c r="F51" s="138" t="n"/>
      <c r="G51" s="126" t="n"/>
      <c r="H51" s="126" t="n"/>
      <c r="I51" s="126" t="n"/>
      <c r="J51" s="126" t="n"/>
      <c r="K51" s="125" t="n"/>
      <c r="L51" s="127" t="n"/>
      <c r="M51" s="128" t="n"/>
      <c r="N51" s="125" t="n"/>
      <c r="O51" s="125" t="n"/>
    </row>
    <row r="52">
      <c r="A52" s="137" t="n"/>
      <c r="B52" s="125" t="n"/>
      <c r="C52" s="125" t="n"/>
      <c r="D52" s="125" t="n"/>
      <c r="E52" s="125" t="n"/>
      <c r="F52" s="138" t="n"/>
      <c r="G52" s="126" t="n"/>
      <c r="H52" s="126" t="n"/>
      <c r="I52" s="126" t="n"/>
      <c r="J52" s="126" t="n"/>
      <c r="K52" s="125" t="n"/>
      <c r="L52" s="127" t="n"/>
      <c r="M52" s="128" t="n"/>
      <c r="N52" s="125" t="n"/>
      <c r="O52" s="125" t="n"/>
    </row>
    <row r="53">
      <c r="A53" s="137" t="n"/>
      <c r="B53" s="125" t="n"/>
      <c r="C53" s="125" t="n"/>
      <c r="D53" s="125" t="n"/>
      <c r="E53" s="125" t="n"/>
      <c r="F53" s="138" t="n"/>
      <c r="G53" s="126" t="n"/>
      <c r="H53" s="126" t="n"/>
      <c r="I53" s="126" t="n"/>
      <c r="J53" s="126" t="n"/>
      <c r="K53" s="125" t="n"/>
      <c r="L53" s="127" t="n"/>
      <c r="M53" s="128" t="n"/>
      <c r="N53" s="125" t="n"/>
      <c r="O53" s="125" t="n"/>
    </row>
    <row r="54">
      <c r="A54" s="137" t="n"/>
      <c r="B54" s="125" t="n"/>
      <c r="C54" s="125" t="n"/>
      <c r="D54" s="125" t="n"/>
      <c r="E54" s="125" t="n"/>
      <c r="F54" s="138" t="n"/>
      <c r="G54" s="126" t="n"/>
      <c r="H54" s="126" t="n"/>
      <c r="I54" s="126" t="n"/>
      <c r="J54" s="126" t="n"/>
      <c r="K54" s="125" t="n"/>
      <c r="L54" s="127" t="n"/>
      <c r="M54" s="128" t="n"/>
      <c r="N54" s="125" t="n"/>
      <c r="O54" s="125" t="n"/>
    </row>
    <row r="55">
      <c r="A55" s="137" t="n"/>
      <c r="B55" s="125" t="n"/>
      <c r="C55" s="125" t="n"/>
      <c r="D55" s="125" t="n"/>
      <c r="E55" s="125" t="n"/>
      <c r="F55" s="138" t="n"/>
      <c r="G55" s="126" t="n"/>
      <c r="H55" s="126" t="n"/>
      <c r="I55" s="126" t="n"/>
      <c r="J55" s="126" t="n"/>
      <c r="K55" s="125" t="n"/>
      <c r="L55" s="127" t="n"/>
      <c r="M55" s="128" t="n"/>
      <c r="N55" s="125" t="n"/>
      <c r="O55" s="125" t="n"/>
    </row>
    <row r="56">
      <c r="A56" s="137" t="n"/>
      <c r="B56" s="125" t="n"/>
      <c r="C56" s="125" t="n"/>
      <c r="D56" s="125" t="n"/>
      <c r="E56" s="125" t="n"/>
      <c r="F56" s="138" t="n"/>
      <c r="G56" s="126" t="n"/>
      <c r="H56" s="126" t="n"/>
      <c r="I56" s="126" t="n"/>
      <c r="J56" s="126" t="n"/>
      <c r="K56" s="125" t="n"/>
      <c r="L56" s="127" t="n"/>
      <c r="M56" s="128" t="n"/>
      <c r="N56" s="125" t="n"/>
      <c r="O56" s="125" t="n"/>
    </row>
    <row r="57">
      <c r="A57" s="137" t="n"/>
      <c r="B57" s="125" t="n"/>
      <c r="C57" s="125" t="n"/>
      <c r="D57" s="125" t="n"/>
      <c r="E57" s="125" t="n"/>
      <c r="F57" s="138" t="n"/>
      <c r="G57" s="126" t="n"/>
      <c r="H57" s="126" t="n"/>
      <c r="I57" s="126" t="n"/>
      <c r="J57" s="126" t="n"/>
      <c r="K57" s="125" t="n"/>
      <c r="L57" s="127" t="n"/>
      <c r="M57" s="128" t="n"/>
      <c r="N57" s="125" t="n"/>
      <c r="O57" s="125" t="n"/>
    </row>
    <row r="58">
      <c r="A58" s="137" t="n"/>
      <c r="B58" s="125" t="n"/>
      <c r="C58" s="125" t="n"/>
      <c r="D58" s="125" t="n"/>
      <c r="E58" s="125" t="n"/>
      <c r="F58" s="138" t="n"/>
      <c r="G58" s="126" t="n"/>
      <c r="H58" s="126" t="n"/>
      <c r="I58" s="126" t="n"/>
      <c r="J58" s="126" t="n"/>
      <c r="K58" s="125" t="n"/>
      <c r="L58" s="127" t="n"/>
      <c r="M58" s="128" t="n"/>
      <c r="N58" s="125" t="n"/>
      <c r="O58" s="125" t="n"/>
    </row>
    <row r="59">
      <c r="A59" s="137" t="n"/>
      <c r="B59" s="125" t="n"/>
      <c r="C59" s="125" t="n"/>
      <c r="D59" s="125" t="n"/>
      <c r="E59" s="125" t="n"/>
      <c r="F59" s="138" t="n"/>
      <c r="G59" s="126" t="n"/>
      <c r="H59" s="126" t="n"/>
      <c r="I59" s="126" t="n"/>
      <c r="J59" s="126" t="n"/>
      <c r="K59" s="125" t="n"/>
      <c r="L59" s="127" t="n"/>
      <c r="M59" s="128" t="n"/>
      <c r="N59" s="125" t="n"/>
      <c r="O59" s="125" t="n"/>
    </row>
    <row r="60">
      <c r="A60" s="137" t="n"/>
      <c r="B60" s="125" t="n"/>
      <c r="C60" s="125" t="n"/>
      <c r="D60" s="125" t="n"/>
      <c r="E60" s="125" t="n"/>
      <c r="F60" s="138" t="n"/>
      <c r="G60" s="126" t="n"/>
      <c r="H60" s="126" t="n"/>
      <c r="I60" s="126" t="n"/>
      <c r="J60" s="126" t="n"/>
      <c r="K60" s="125" t="n"/>
      <c r="L60" s="127" t="n"/>
      <c r="M60" s="128" t="n"/>
      <c r="N60" s="125" t="n"/>
      <c r="O60" s="125" t="n"/>
    </row>
    <row r="61">
      <c r="A61" s="137" t="n"/>
      <c r="B61" s="125" t="n"/>
      <c r="C61" s="125" t="n"/>
      <c r="D61" s="125" t="n"/>
      <c r="E61" s="125" t="n"/>
      <c r="F61" s="138" t="n"/>
      <c r="G61" s="126" t="n"/>
      <c r="H61" s="126" t="n"/>
      <c r="I61" s="126" t="n"/>
      <c r="J61" s="126" t="n"/>
      <c r="K61" s="125" t="n"/>
      <c r="L61" s="127" t="n"/>
      <c r="M61" s="128" t="n"/>
      <c r="N61" s="125" t="n"/>
      <c r="O61" s="125" t="n"/>
    </row>
    <row r="62">
      <c r="A62" s="137" t="n"/>
      <c r="B62" s="125" t="n"/>
      <c r="C62" s="125" t="n"/>
      <c r="D62" s="125" t="n"/>
      <c r="E62" s="125" t="n"/>
      <c r="F62" s="138" t="n"/>
      <c r="G62" s="126" t="n"/>
      <c r="H62" s="126" t="n"/>
      <c r="I62" s="126" t="n"/>
      <c r="J62" s="126" t="n"/>
      <c r="K62" s="125" t="n"/>
      <c r="L62" s="127" t="n"/>
      <c r="M62" s="128" t="n"/>
      <c r="N62" s="125" t="n"/>
      <c r="O62" s="125" t="n"/>
    </row>
    <row r="63">
      <c r="A63" s="137" t="n"/>
      <c r="B63" s="125" t="n"/>
      <c r="C63" s="125" t="n"/>
      <c r="D63" s="125" t="n"/>
      <c r="E63" s="125" t="n"/>
      <c r="F63" s="138" t="n"/>
      <c r="G63" s="126" t="n"/>
      <c r="H63" s="126" t="n"/>
      <c r="I63" s="126" t="n"/>
      <c r="J63" s="126" t="n"/>
      <c r="K63" s="125" t="n"/>
      <c r="L63" s="127" t="n"/>
      <c r="M63" s="128" t="n"/>
      <c r="N63" s="125" t="n"/>
      <c r="O63" s="125" t="n"/>
    </row>
    <row r="64">
      <c r="A64" s="137" t="n"/>
      <c r="B64" s="125" t="n"/>
      <c r="C64" s="125" t="n"/>
      <c r="D64" s="125" t="n"/>
      <c r="E64" s="125" t="n"/>
      <c r="F64" s="138" t="n"/>
      <c r="G64" s="126" t="n"/>
      <c r="H64" s="126" t="n"/>
      <c r="I64" s="126" t="n"/>
      <c r="J64" s="126" t="n"/>
      <c r="K64" s="125" t="n"/>
      <c r="L64" s="127" t="n"/>
      <c r="M64" s="128" t="n"/>
      <c r="N64" s="125" t="n"/>
      <c r="O64" s="125" t="n"/>
    </row>
    <row r="65">
      <c r="A65" s="137" t="n"/>
      <c r="B65" s="125" t="n"/>
      <c r="C65" s="125" t="n"/>
      <c r="D65" s="125" t="n"/>
      <c r="E65" s="125" t="n"/>
      <c r="F65" s="138" t="n"/>
      <c r="G65" s="126" t="n"/>
      <c r="H65" s="126" t="n"/>
      <c r="I65" s="126" t="n"/>
      <c r="J65" s="126" t="n"/>
      <c r="K65" s="125" t="n"/>
      <c r="L65" s="127" t="n"/>
      <c r="M65" s="128" t="n"/>
      <c r="N65" s="125" t="n"/>
      <c r="O65" s="125" t="n"/>
    </row>
    <row r="66">
      <c r="A66" s="137" t="n"/>
      <c r="B66" s="125" t="n"/>
      <c r="C66" s="125" t="n"/>
      <c r="D66" s="125" t="n"/>
      <c r="E66" s="125" t="n"/>
      <c r="F66" s="138" t="n"/>
      <c r="G66" s="126" t="n"/>
      <c r="H66" s="126" t="n"/>
      <c r="I66" s="126" t="n"/>
      <c r="J66" s="126" t="n"/>
      <c r="K66" s="125" t="n"/>
      <c r="L66" s="127" t="n"/>
      <c r="M66" s="128" t="n"/>
      <c r="N66" s="125" t="n"/>
      <c r="O66" s="125" t="n"/>
    </row>
    <row r="67">
      <c r="A67" s="137" t="n"/>
      <c r="B67" s="125" t="n"/>
      <c r="C67" s="125" t="n"/>
      <c r="D67" s="125" t="n"/>
      <c r="E67" s="125" t="n"/>
      <c r="F67" s="138" t="n"/>
      <c r="G67" s="126" t="n"/>
      <c r="H67" s="126" t="n"/>
      <c r="I67" s="126" t="n"/>
      <c r="J67" s="126" t="n"/>
      <c r="K67" s="125" t="n"/>
      <c r="L67" s="127" t="n"/>
      <c r="M67" s="128" t="n"/>
      <c r="N67" s="125" t="n"/>
      <c r="O67" s="125" t="n"/>
    </row>
    <row r="68">
      <c r="A68" s="137" t="n"/>
      <c r="B68" s="125" t="n"/>
      <c r="C68" s="125" t="n"/>
      <c r="D68" s="125" t="n"/>
      <c r="E68" s="125" t="n"/>
      <c r="F68" s="138" t="n"/>
      <c r="G68" s="126" t="n"/>
      <c r="H68" s="126" t="n"/>
      <c r="I68" s="126" t="n"/>
      <c r="J68" s="126" t="n"/>
      <c r="K68" s="125" t="n"/>
      <c r="L68" s="127" t="n"/>
      <c r="M68" s="128" t="n"/>
      <c r="N68" s="125" t="n"/>
      <c r="O68" s="125" t="n"/>
    </row>
    <row r="69">
      <c r="A69" s="137" t="n"/>
      <c r="B69" s="125" t="n"/>
      <c r="C69" s="125" t="n"/>
      <c r="D69" s="125" t="n"/>
      <c r="E69" s="125" t="n"/>
      <c r="F69" s="138" t="n"/>
      <c r="G69" s="126" t="n"/>
      <c r="H69" s="126" t="n"/>
      <c r="I69" s="126" t="n"/>
      <c r="J69" s="126" t="n"/>
      <c r="K69" s="125" t="n"/>
      <c r="L69" s="127" t="n"/>
      <c r="M69" s="128" t="n"/>
      <c r="N69" s="125" t="n"/>
      <c r="O69" s="125" t="n"/>
    </row>
    <row r="70">
      <c r="A70" s="137" t="n"/>
      <c r="B70" s="125" t="n"/>
      <c r="C70" s="125" t="n"/>
      <c r="D70" s="125" t="n"/>
      <c r="E70" s="125" t="n"/>
      <c r="F70" s="138" t="n"/>
      <c r="G70" s="126" t="n"/>
      <c r="H70" s="126" t="n"/>
      <c r="I70" s="126" t="n"/>
      <c r="J70" s="126" t="n"/>
      <c r="K70" s="125" t="n"/>
      <c r="L70" s="127" t="n"/>
      <c r="M70" s="128" t="n"/>
      <c r="N70" s="125" t="n"/>
      <c r="O70" s="125" t="n"/>
    </row>
    <row r="71">
      <c r="A71" s="137" t="n"/>
      <c r="B71" s="125" t="n"/>
      <c r="C71" s="125" t="n"/>
      <c r="D71" s="125" t="n"/>
      <c r="E71" s="125" t="n"/>
      <c r="F71" s="138" t="n"/>
      <c r="G71" s="126" t="n"/>
      <c r="H71" s="126" t="n"/>
      <c r="I71" s="126" t="n"/>
      <c r="J71" s="126" t="n"/>
      <c r="K71" s="125" t="n"/>
      <c r="L71" s="127" t="n"/>
      <c r="M71" s="128" t="n"/>
      <c r="N71" s="125" t="n"/>
      <c r="O71" s="125" t="n"/>
    </row>
    <row r="72">
      <c r="A72" s="137" t="n"/>
      <c r="B72" s="125" t="n"/>
      <c r="C72" s="125" t="n"/>
      <c r="D72" s="125" t="n"/>
      <c r="E72" s="125" t="n"/>
      <c r="F72" s="138" t="n"/>
      <c r="G72" s="126" t="n"/>
      <c r="H72" s="126" t="n"/>
      <c r="I72" s="126" t="n"/>
      <c r="J72" s="126" t="n"/>
      <c r="K72" s="125" t="n"/>
      <c r="L72" s="127" t="n"/>
      <c r="M72" s="128" t="n"/>
      <c r="N72" s="125" t="n"/>
      <c r="O72" s="125" t="n"/>
    </row>
    <row r="73">
      <c r="A73" s="137" t="n"/>
      <c r="B73" s="125" t="n"/>
      <c r="C73" s="125" t="n"/>
      <c r="D73" s="125" t="n"/>
      <c r="E73" s="125" t="n"/>
      <c r="F73" s="138" t="n"/>
      <c r="G73" s="126" t="n"/>
      <c r="H73" s="126" t="n"/>
      <c r="I73" s="126" t="n"/>
      <c r="J73" s="126" t="n"/>
      <c r="K73" s="125" t="n"/>
      <c r="L73" s="127" t="n"/>
      <c r="M73" s="128" t="n"/>
      <c r="N73" s="125" t="n"/>
      <c r="O73" s="125" t="n"/>
    </row>
    <row r="74">
      <c r="A74" s="137" t="n"/>
      <c r="B74" s="125" t="n"/>
      <c r="C74" s="125" t="n"/>
      <c r="D74" s="125" t="n"/>
      <c r="E74" s="125" t="n"/>
      <c r="F74" s="138" t="n"/>
      <c r="G74" s="126" t="n"/>
      <c r="H74" s="126" t="n"/>
      <c r="I74" s="126" t="n"/>
      <c r="J74" s="126" t="n"/>
      <c r="K74" s="125" t="n"/>
      <c r="L74" s="127" t="n"/>
      <c r="M74" s="128" t="n"/>
      <c r="N74" s="125" t="n"/>
      <c r="O74" s="125" t="n"/>
    </row>
    <row r="75">
      <c r="A75" s="137" t="n"/>
      <c r="B75" s="125" t="n"/>
      <c r="C75" s="125" t="n"/>
      <c r="D75" s="125" t="n"/>
      <c r="E75" s="125" t="n"/>
      <c r="F75" s="138" t="n"/>
      <c r="G75" s="126" t="n"/>
      <c r="H75" s="126" t="n"/>
      <c r="I75" s="126" t="n"/>
      <c r="J75" s="126" t="n"/>
      <c r="K75" s="125" t="n"/>
      <c r="L75" s="127" t="n"/>
      <c r="M75" s="128" t="n"/>
      <c r="N75" s="125" t="n"/>
      <c r="O75" s="125" t="n"/>
    </row>
    <row r="76">
      <c r="A76" s="137" t="n"/>
      <c r="B76" s="125" t="n"/>
      <c r="C76" s="125" t="n"/>
      <c r="D76" s="125" t="n"/>
      <c r="E76" s="125" t="n"/>
      <c r="F76" s="138" t="n"/>
      <c r="G76" s="126" t="n"/>
      <c r="H76" s="126" t="n"/>
      <c r="I76" s="126" t="n"/>
      <c r="J76" s="126" t="n"/>
      <c r="K76" s="125" t="n"/>
      <c r="L76" s="127" t="n"/>
      <c r="M76" s="128" t="n"/>
      <c r="N76" s="125" t="n"/>
      <c r="O76" s="125" t="n"/>
    </row>
    <row r="77">
      <c r="A77" s="137" t="n"/>
      <c r="B77" s="125" t="n"/>
      <c r="C77" s="125" t="n"/>
      <c r="D77" s="125" t="n"/>
      <c r="E77" s="125" t="n"/>
      <c r="F77" s="138" t="n"/>
      <c r="G77" s="126" t="n"/>
      <c r="H77" s="126" t="n"/>
      <c r="I77" s="126" t="n"/>
      <c r="J77" s="126" t="n"/>
      <c r="K77" s="125" t="n"/>
      <c r="L77" s="127" t="n"/>
      <c r="M77" s="128" t="n"/>
      <c r="N77" s="125" t="n"/>
      <c r="O77" s="125" t="n"/>
    </row>
    <row r="78">
      <c r="A78" s="137" t="n"/>
      <c r="B78" s="125" t="n"/>
      <c r="C78" s="125" t="n"/>
      <c r="D78" s="125" t="n"/>
      <c r="E78" s="125" t="n"/>
      <c r="F78" s="138" t="n"/>
      <c r="G78" s="126" t="n"/>
      <c r="H78" s="126" t="n"/>
      <c r="I78" s="126" t="n"/>
      <c r="J78" s="126" t="n"/>
      <c r="K78" s="125" t="n"/>
      <c r="L78" s="127" t="n"/>
      <c r="M78" s="128" t="n"/>
      <c r="N78" s="125" t="n"/>
      <c r="O78" s="125" t="n"/>
    </row>
    <row r="79">
      <c r="A79" s="137" t="n"/>
      <c r="B79" s="125" t="n"/>
      <c r="C79" s="125" t="n"/>
      <c r="D79" s="125" t="n"/>
      <c r="E79" s="125" t="n"/>
      <c r="F79" s="138" t="n"/>
      <c r="G79" s="126" t="n"/>
      <c r="H79" s="126" t="n"/>
      <c r="I79" s="126" t="n"/>
      <c r="J79" s="126" t="n"/>
      <c r="K79" s="125" t="n"/>
      <c r="L79" s="127" t="n"/>
      <c r="M79" s="128" t="n"/>
      <c r="N79" s="125" t="n"/>
      <c r="O79" s="125" t="n"/>
    </row>
    <row r="80">
      <c r="A80" s="137" t="n"/>
      <c r="B80" s="125" t="n"/>
      <c r="C80" s="125" t="n"/>
      <c r="D80" s="125" t="n"/>
      <c r="E80" s="125" t="n"/>
      <c r="F80" s="138" t="n"/>
      <c r="G80" s="126" t="n"/>
      <c r="H80" s="126" t="n"/>
      <c r="I80" s="126" t="n"/>
      <c r="J80" s="126" t="n"/>
      <c r="K80" s="125" t="n"/>
      <c r="L80" s="127" t="n"/>
      <c r="M80" s="128" t="n"/>
      <c r="N80" s="125" t="n"/>
      <c r="O80" s="125" t="n"/>
    </row>
    <row r="81">
      <c r="A81" s="137" t="n"/>
      <c r="B81" s="125" t="n"/>
      <c r="C81" s="125" t="n"/>
      <c r="D81" s="125" t="n"/>
      <c r="E81" s="125" t="n"/>
      <c r="F81" s="138" t="n"/>
      <c r="G81" s="126" t="n"/>
      <c r="H81" s="126" t="n"/>
      <c r="I81" s="126" t="n"/>
      <c r="J81" s="126" t="n"/>
      <c r="K81" s="125" t="n"/>
      <c r="L81" s="127" t="n"/>
      <c r="M81" s="128" t="n"/>
      <c r="N81" s="125" t="n"/>
      <c r="O81" s="125" t="n"/>
    </row>
    <row r="82">
      <c r="A82" s="137" t="n"/>
      <c r="B82" s="125" t="n"/>
      <c r="C82" s="125" t="n"/>
      <c r="D82" s="125" t="n"/>
      <c r="E82" s="125" t="n"/>
      <c r="F82" s="138" t="n"/>
      <c r="G82" s="126" t="n"/>
      <c r="H82" s="126" t="n"/>
      <c r="I82" s="126" t="n"/>
      <c r="J82" s="126" t="n"/>
      <c r="K82" s="125" t="n"/>
      <c r="L82" s="127" t="n"/>
      <c r="M82" s="128" t="n"/>
      <c r="N82" s="125" t="n"/>
      <c r="O82" s="125" t="n"/>
    </row>
    <row r="83">
      <c r="A83" s="137" t="n"/>
      <c r="B83" s="125" t="n"/>
      <c r="C83" s="125" t="n"/>
      <c r="D83" s="125" t="n"/>
      <c r="E83" s="125" t="n"/>
      <c r="F83" s="138" t="n"/>
      <c r="G83" s="126" t="n"/>
      <c r="H83" s="126" t="n"/>
      <c r="I83" s="126" t="n"/>
      <c r="J83" s="126" t="n"/>
      <c r="K83" s="125" t="n"/>
      <c r="L83" s="127" t="n"/>
      <c r="M83" s="128" t="n"/>
      <c r="N83" s="125" t="n"/>
      <c r="O83" s="125" t="n"/>
    </row>
    <row r="84">
      <c r="A84" s="137" t="n"/>
      <c r="B84" s="125" t="n"/>
      <c r="C84" s="125" t="n"/>
      <c r="D84" s="125" t="n"/>
      <c r="E84" s="125" t="n"/>
      <c r="F84" s="138" t="n"/>
      <c r="G84" s="126" t="n"/>
      <c r="H84" s="126" t="n"/>
      <c r="I84" s="126" t="n"/>
      <c r="J84" s="126" t="n"/>
      <c r="K84" s="125" t="n"/>
      <c r="L84" s="127" t="n"/>
      <c r="M84" s="128" t="n"/>
      <c r="N84" s="125" t="n"/>
      <c r="O84" s="125" t="n"/>
    </row>
    <row r="85">
      <c r="A85" s="137" t="n"/>
      <c r="B85" s="125" t="n"/>
      <c r="C85" s="125" t="n"/>
      <c r="D85" s="125" t="n"/>
      <c r="E85" s="125" t="n"/>
      <c r="F85" s="138" t="n"/>
      <c r="G85" s="126" t="n"/>
      <c r="H85" s="126" t="n"/>
      <c r="I85" s="126" t="n"/>
      <c r="J85" s="126" t="n"/>
      <c r="K85" s="125" t="n"/>
      <c r="L85" s="127" t="n"/>
      <c r="M85" s="128" t="n"/>
      <c r="N85" s="125" t="n"/>
      <c r="O85" s="125" t="n"/>
    </row>
    <row r="86">
      <c r="A86" s="137" t="n"/>
      <c r="B86" s="125" t="n"/>
      <c r="C86" s="125" t="n"/>
      <c r="D86" s="125" t="n"/>
      <c r="E86" s="125" t="n"/>
      <c r="F86" s="138" t="n"/>
      <c r="G86" s="126" t="n"/>
      <c r="H86" s="126" t="n"/>
      <c r="I86" s="126" t="n"/>
      <c r="J86" s="126" t="n"/>
      <c r="K86" s="125" t="n"/>
      <c r="L86" s="127" t="n"/>
      <c r="M86" s="128" t="n"/>
      <c r="N86" s="125" t="n"/>
      <c r="O86" s="125" t="n"/>
    </row>
    <row r="87">
      <c r="A87" s="137" t="n"/>
      <c r="B87" s="125" t="n"/>
      <c r="C87" s="125" t="n"/>
      <c r="D87" s="125" t="n"/>
      <c r="E87" s="125" t="n"/>
      <c r="F87" s="138" t="n"/>
      <c r="G87" s="126" t="n"/>
      <c r="H87" s="126" t="n"/>
      <c r="I87" s="126" t="n"/>
      <c r="J87" s="126" t="n"/>
      <c r="K87" s="125" t="n"/>
      <c r="L87" s="127" t="n"/>
      <c r="M87" s="128" t="n"/>
      <c r="N87" s="125" t="n"/>
      <c r="O87" s="125" t="n"/>
    </row>
    <row r="88">
      <c r="A88" s="137" t="n"/>
      <c r="B88" s="125" t="n"/>
      <c r="C88" s="125" t="n"/>
      <c r="D88" s="125" t="n"/>
      <c r="E88" s="125" t="n"/>
      <c r="F88" s="138" t="n"/>
      <c r="G88" s="126" t="n"/>
      <c r="H88" s="126" t="n"/>
      <c r="I88" s="126" t="n"/>
      <c r="J88" s="126" t="n"/>
      <c r="K88" s="125" t="n"/>
      <c r="L88" s="127" t="n"/>
      <c r="M88" s="128" t="n"/>
      <c r="N88" s="125" t="n"/>
      <c r="O88" s="125" t="n"/>
    </row>
    <row r="89">
      <c r="A89" s="137" t="n"/>
      <c r="B89" s="125" t="n"/>
      <c r="C89" s="125" t="n"/>
      <c r="D89" s="125" t="n"/>
      <c r="E89" s="125" t="n"/>
      <c r="F89" s="138" t="n"/>
      <c r="G89" s="126" t="n"/>
      <c r="H89" s="126" t="n"/>
      <c r="I89" s="126" t="n"/>
      <c r="J89" s="126" t="n"/>
      <c r="K89" s="125" t="n"/>
      <c r="L89" s="127" t="n"/>
      <c r="M89" s="128" t="n"/>
      <c r="N89" s="125" t="n"/>
      <c r="O89" s="125" t="n"/>
    </row>
    <row r="90">
      <c r="A90" s="137" t="n"/>
      <c r="B90" s="125" t="n"/>
      <c r="C90" s="125" t="n"/>
      <c r="D90" s="125" t="n"/>
      <c r="E90" s="125" t="n"/>
      <c r="F90" s="138" t="n"/>
      <c r="G90" s="126" t="n"/>
      <c r="H90" s="126" t="n"/>
      <c r="I90" s="126" t="n"/>
      <c r="J90" s="126" t="n"/>
      <c r="K90" s="125" t="n"/>
      <c r="L90" s="127" t="n"/>
      <c r="M90" s="128" t="n"/>
      <c r="N90" s="125" t="n"/>
      <c r="O90" s="125" t="n"/>
    </row>
    <row r="91">
      <c r="A91" s="137" t="n"/>
      <c r="B91" s="125" t="n"/>
      <c r="C91" s="125" t="n"/>
      <c r="D91" s="125" t="n"/>
      <c r="E91" s="125" t="n"/>
      <c r="F91" s="138" t="n"/>
      <c r="G91" s="126" t="n"/>
      <c r="H91" s="126" t="n"/>
      <c r="I91" s="126" t="n"/>
      <c r="J91" s="126" t="n"/>
      <c r="K91" s="125" t="n"/>
      <c r="L91" s="127" t="n"/>
      <c r="M91" s="128" t="n"/>
      <c r="N91" s="125" t="n"/>
      <c r="O91" s="125" t="n"/>
    </row>
    <row r="92">
      <c r="A92" s="137" t="n"/>
      <c r="B92" s="125" t="n"/>
      <c r="C92" s="125" t="n"/>
      <c r="D92" s="125" t="n"/>
      <c r="E92" s="125" t="n"/>
      <c r="F92" s="138" t="n"/>
      <c r="G92" s="126" t="n"/>
      <c r="H92" s="126" t="n"/>
      <c r="I92" s="126" t="n"/>
      <c r="J92" s="126" t="n"/>
      <c r="K92" s="125" t="n"/>
      <c r="L92" s="127" t="n"/>
      <c r="M92" s="128" t="n"/>
      <c r="N92" s="125" t="n"/>
      <c r="O92" s="125" t="n"/>
    </row>
    <row r="93">
      <c r="A93" s="137" t="n"/>
      <c r="B93" s="125" t="n"/>
      <c r="C93" s="125" t="n"/>
      <c r="D93" s="125" t="n"/>
      <c r="E93" s="125" t="n"/>
      <c r="F93" s="138" t="n"/>
      <c r="G93" s="126" t="n"/>
      <c r="H93" s="126" t="n"/>
      <c r="I93" s="126" t="n"/>
      <c r="J93" s="126" t="n"/>
      <c r="K93" s="125" t="n"/>
      <c r="L93" s="127" t="n"/>
      <c r="M93" s="128" t="n"/>
      <c r="N93" s="125" t="n"/>
      <c r="O93" s="125" t="n"/>
    </row>
    <row r="94">
      <c r="A94" s="137" t="n"/>
      <c r="B94" s="125" t="n"/>
      <c r="C94" s="125" t="n"/>
      <c r="D94" s="125" t="n"/>
      <c r="E94" s="125" t="n"/>
      <c r="F94" s="138" t="n"/>
      <c r="G94" s="126" t="n"/>
      <c r="H94" s="126" t="n"/>
      <c r="I94" s="126" t="n"/>
      <c r="J94" s="126" t="n"/>
      <c r="K94" s="125" t="n"/>
      <c r="L94" s="127" t="n"/>
      <c r="M94" s="128" t="n"/>
      <c r="N94" s="125" t="n"/>
      <c r="O94" s="125" t="n"/>
    </row>
    <row r="95">
      <c r="A95" s="137" t="n"/>
      <c r="B95" s="125" t="n"/>
      <c r="C95" s="125" t="n"/>
      <c r="D95" s="125" t="n"/>
      <c r="E95" s="125" t="n"/>
      <c r="F95" s="138" t="n"/>
      <c r="G95" s="126" t="n"/>
      <c r="H95" s="126" t="n"/>
      <c r="I95" s="126" t="n"/>
      <c r="J95" s="126" t="n"/>
      <c r="K95" s="125" t="n"/>
      <c r="L95" s="127" t="n"/>
      <c r="M95" s="128" t="n"/>
      <c r="N95" s="125" t="n"/>
      <c r="O95" s="125" t="n"/>
    </row>
    <row r="96">
      <c r="A96" s="137" t="n"/>
      <c r="B96" s="125" t="n"/>
      <c r="C96" s="125" t="n"/>
      <c r="D96" s="125" t="n"/>
      <c r="E96" s="125" t="n"/>
      <c r="F96" s="138" t="n"/>
      <c r="G96" s="126" t="n"/>
      <c r="H96" s="126" t="n"/>
      <c r="I96" s="126" t="n"/>
      <c r="J96" s="126" t="n"/>
      <c r="K96" s="125" t="n"/>
      <c r="L96" s="127" t="n"/>
      <c r="M96" s="128" t="n"/>
      <c r="N96" s="125" t="n"/>
      <c r="O96" s="125" t="n"/>
    </row>
    <row r="97">
      <c r="A97" s="137" t="n"/>
      <c r="B97" s="125" t="n"/>
      <c r="C97" s="125" t="n"/>
      <c r="D97" s="125" t="n"/>
      <c r="E97" s="125" t="n"/>
      <c r="F97" s="138" t="n"/>
      <c r="G97" s="126" t="n"/>
      <c r="H97" s="126" t="n"/>
      <c r="I97" s="126" t="n"/>
      <c r="J97" s="126" t="n"/>
      <c r="K97" s="125" t="n"/>
      <c r="L97" s="127" t="n"/>
      <c r="M97" s="128" t="n"/>
      <c r="N97" s="125" t="n"/>
      <c r="O97" s="125" t="n"/>
    </row>
    <row r="98">
      <c r="A98" s="137" t="n"/>
      <c r="B98" s="125" t="n"/>
      <c r="C98" s="125" t="n"/>
      <c r="D98" s="125" t="n"/>
      <c r="E98" s="125" t="n"/>
      <c r="F98" s="138" t="n"/>
      <c r="G98" s="126" t="n"/>
      <c r="H98" s="126" t="n"/>
      <c r="I98" s="126" t="n"/>
      <c r="J98" s="126" t="n"/>
      <c r="K98" s="125" t="n"/>
      <c r="L98" s="127" t="n"/>
      <c r="M98" s="128" t="n"/>
      <c r="N98" s="125" t="n"/>
      <c r="O98" s="125" t="n"/>
    </row>
    <row r="99">
      <c r="A99" s="137" t="n"/>
      <c r="B99" s="125" t="n"/>
      <c r="C99" s="125" t="n"/>
      <c r="D99" s="125" t="n"/>
      <c r="E99" s="125" t="n"/>
      <c r="F99" s="138" t="n"/>
      <c r="G99" s="126" t="n"/>
      <c r="H99" s="126" t="n"/>
      <c r="I99" s="126" t="n"/>
      <c r="J99" s="126" t="n"/>
      <c r="K99" s="125" t="n"/>
      <c r="L99" s="127" t="n"/>
      <c r="M99" s="128" t="n"/>
      <c r="N99" s="125" t="n"/>
      <c r="O99" s="125" t="n"/>
    </row>
    <row r="100">
      <c r="A100" s="137" t="n"/>
      <c r="B100" s="125" t="n"/>
      <c r="C100" s="125" t="n"/>
      <c r="D100" s="125" t="n"/>
      <c r="E100" s="125" t="n"/>
      <c r="F100" s="138" t="n"/>
      <c r="G100" s="126" t="n"/>
      <c r="H100" s="126" t="n"/>
      <c r="I100" s="126" t="n"/>
      <c r="J100" s="126" t="n"/>
      <c r="K100" s="125" t="n"/>
      <c r="L100" s="127" t="n"/>
      <c r="M100" s="128" t="n"/>
      <c r="N100" s="125" t="n"/>
      <c r="O100" s="125" t="n"/>
    </row>
    <row r="101">
      <c r="A101" s="137" t="n"/>
      <c r="B101" s="125" t="n"/>
      <c r="C101" s="125" t="n"/>
      <c r="D101" s="125" t="n"/>
      <c r="E101" s="125" t="n"/>
      <c r="F101" s="138" t="n"/>
      <c r="G101" s="126" t="n"/>
      <c r="H101" s="126" t="n"/>
      <c r="I101" s="126" t="n"/>
      <c r="J101" s="126" t="n"/>
      <c r="K101" s="125" t="n"/>
      <c r="L101" s="127" t="n"/>
      <c r="M101" s="128" t="n"/>
      <c r="N101" s="125" t="n"/>
      <c r="O101" s="125" t="n"/>
    </row>
    <row r="102">
      <c r="A102" s="137" t="n"/>
      <c r="B102" s="125" t="n"/>
      <c r="C102" s="125" t="n"/>
      <c r="D102" s="125" t="n"/>
      <c r="E102" s="125" t="n"/>
      <c r="F102" s="138" t="n"/>
      <c r="G102" s="126" t="n"/>
      <c r="H102" s="126" t="n"/>
      <c r="I102" s="126" t="n"/>
      <c r="J102" s="126" t="n"/>
      <c r="K102" s="125" t="n"/>
      <c r="L102" s="127" t="n"/>
      <c r="M102" s="128" t="n"/>
      <c r="N102" s="125" t="n"/>
      <c r="O102" s="125" t="n"/>
    </row>
    <row r="103">
      <c r="A103" s="137" t="n"/>
      <c r="B103" s="125" t="n"/>
      <c r="C103" s="125" t="n"/>
      <c r="D103" s="125" t="n"/>
      <c r="E103" s="125" t="n"/>
      <c r="F103" s="138" t="n"/>
      <c r="G103" s="126" t="n"/>
      <c r="H103" s="126" t="n"/>
      <c r="I103" s="126" t="n"/>
      <c r="J103" s="126" t="n"/>
      <c r="K103" s="125" t="n"/>
      <c r="L103" s="127" t="n"/>
      <c r="M103" s="128" t="n"/>
      <c r="N103" s="125" t="n"/>
      <c r="O103" s="125" t="n"/>
    </row>
    <row r="104">
      <c r="A104" s="137" t="n"/>
      <c r="B104" s="125" t="n"/>
      <c r="C104" s="125" t="n"/>
      <c r="D104" s="125" t="n"/>
      <c r="E104" s="125" t="n"/>
      <c r="F104" s="138" t="n"/>
      <c r="G104" s="126" t="n"/>
      <c r="H104" s="126" t="n"/>
      <c r="I104" s="126" t="n"/>
      <c r="J104" s="126" t="n"/>
      <c r="K104" s="125" t="n"/>
      <c r="L104" s="127" t="n"/>
      <c r="M104" s="128" t="n"/>
      <c r="N104" s="125" t="n"/>
      <c r="O104" s="125" t="n"/>
    </row>
  </sheetData>
  <autoFilter ref="A4:O104"/>
  <mergeCells count="2">
    <mergeCell ref="A1:O2"/>
    <mergeCell ref="A3:O3"/>
  </mergeCells>
  <dataValidations count="5">
    <dataValidation sqref="G5:J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'_枚举'!$N$2:$N$5</formula1>
    </dataValidation>
    <dataValidation sqref="K5:K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'_枚举'!$O$2:$O$5</formula1>
    </dataValidation>
    <dataValidation sqref="L5:L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'_枚举'!$P$2:$P$4</formula1>
    </dataValidation>
    <dataValidation sqref="N5:N104" showDropDown="0" showInputMessage="1" showErrorMessage="1" allowBlank="1" errorTitle="枚举值无效" error="请选择下拉列表中的允许值。" promptTitle="玄矶字段提示" prompt="请选择允许的枚举值；不确定时使用 UNKNOWN。" type="list" errorStyle="stop">
      <formula1>'_枚举'!$C$2:$C$3</formula1>
    </dataValidation>
    <dataValidation sqref="M5:M104" showDropDown="0" showInputMessage="0" showErrorMessage="1" allowBlank="1" errorTitle="数字格式无效" error="请输入 0 到 1 之间的数字。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6B4F68"/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20" customWidth="1" min="4" max="4"/>
    <col width="34" customWidth="1" min="5" max="5"/>
    <col width="48" customWidth="1" min="6" max="6"/>
    <col width="38" customWidth="1" min="7" max="7"/>
  </cols>
  <sheetData>
    <row r="1">
      <c r="A1" s="3" t="inlineStr">
        <is>
          <t>字段字典｜导入映射与填写口径</t>
        </is>
      </c>
    </row>
    <row r="2"/>
    <row r="4">
      <c r="A4" s="79" t="inlineStr">
        <is>
          <t>工作表</t>
        </is>
      </c>
      <c r="B4" s="80" t="inlineStr">
        <is>
          <t>字段</t>
        </is>
      </c>
      <c r="C4" s="80" t="inlineStr">
        <is>
          <t>是否必填</t>
        </is>
      </c>
      <c r="D4" s="80" t="inlineStr">
        <is>
          <t>数据类型</t>
        </is>
      </c>
      <c r="E4" s="80" t="inlineStr">
        <is>
          <t>示例</t>
        </is>
      </c>
      <c r="F4" s="80" t="inlineStr">
        <is>
          <t>说明</t>
        </is>
      </c>
      <c r="G4" s="81" t="inlineStr">
        <is>
          <t>数据库映射</t>
        </is>
      </c>
    </row>
    <row r="5">
      <c r="A5" s="89" t="inlineStr">
        <is>
          <t>水晶主数据</t>
        </is>
      </c>
      <c r="B5" s="89" t="inlineStr">
        <is>
          <t>crystal_id</t>
        </is>
      </c>
      <c r="C5" s="89" t="inlineStr">
        <is>
          <t>是</t>
        </is>
      </c>
      <c r="D5" s="89" t="inlineStr">
        <is>
          <t>文本</t>
        </is>
      </c>
      <c r="E5" s="89" t="inlineStr">
        <is>
          <t>crystal-aquamarine</t>
        </is>
      </c>
      <c r="F5" s="89" t="inlineStr">
        <is>
          <t>稳定唯一标识，建议英文小写加连字符。</t>
        </is>
      </c>
      <c r="G5" s="89" t="inlineStr">
        <is>
          <t>Crystal.id</t>
        </is>
      </c>
    </row>
    <row r="6">
      <c r="A6" s="90" t="inlineStr">
        <is>
          <t>水晶主数据</t>
        </is>
      </c>
      <c r="B6" s="90" t="inlineStr">
        <is>
          <t>颜色/视觉/风格等标签</t>
        </is>
      </c>
      <c r="C6" s="90" t="inlineStr">
        <is>
          <t>部分</t>
        </is>
      </c>
      <c r="D6" s="90" t="inlineStr">
        <is>
          <t>逗号分隔文本</t>
        </is>
      </c>
      <c r="E6" s="90" t="inlineStr">
        <is>
          <t>blue,cool,translucent</t>
        </is>
      </c>
      <c r="F6" s="90" t="inlineStr">
        <is>
          <t>使用英文逗号分隔；导入时转为字符串数组。</t>
        </is>
      </c>
      <c r="G6" s="90" t="inlineStr">
        <is>
          <t>Crystal.*Tags</t>
        </is>
      </c>
    </row>
    <row r="7">
      <c r="A7" s="90" t="inlineStr">
        <is>
          <t>水晶主数据</t>
        </is>
      </c>
      <c r="B7" s="90" t="inlineStr">
        <is>
          <t>价格等级</t>
        </is>
      </c>
      <c r="C7" s="90" t="inlineStr">
        <is>
          <t>是</t>
        </is>
      </c>
      <c r="D7" s="90" t="inlineStr">
        <is>
          <t>整数 1–5</t>
        </is>
      </c>
      <c r="E7" s="90" t="inlineStr">
        <is>
          <t>2</t>
        </is>
      </c>
      <c r="F7" s="90" t="inlineStr">
        <is>
          <t>1 为入门，5 为高价稀缺。</t>
        </is>
      </c>
      <c r="G7" s="90" t="inlineStr">
        <is>
          <t>Crystal.priceLevel</t>
        </is>
      </c>
    </row>
    <row r="8">
      <c r="A8" s="90" t="inlineStr">
        <is>
          <t>水晶主数据</t>
        </is>
      </c>
      <c r="B8" s="90" t="inlineStr">
        <is>
          <t>合规说明</t>
        </is>
      </c>
      <c r="C8" s="90" t="inlineStr">
        <is>
          <t>是</t>
        </is>
      </c>
      <c r="D8" s="90" t="inlineStr">
        <is>
          <t>文本</t>
        </is>
      </c>
      <c r="E8" s="90" t="inlineStr">
        <is>
          <t>仅作设计参考…</t>
        </is>
      </c>
      <c r="F8" s="90" t="inlineStr">
        <is>
          <t>不可含医疗、保证效果或确定性运势宣传。</t>
        </is>
      </c>
      <c r="G8" s="90" t="inlineStr">
        <is>
          <t>Crystal.complianceNote</t>
        </is>
      </c>
    </row>
    <row r="9">
      <c r="A9" s="90" t="inlineStr">
        <is>
          <t>珠子SKU</t>
        </is>
      </c>
      <c r="B9" s="90" t="inlineStr">
        <is>
          <t>product_id</t>
        </is>
      </c>
      <c r="C9" s="90" t="inlineStr">
        <is>
          <t>是</t>
        </is>
      </c>
      <c r="D9" s="90" t="inlineStr">
        <is>
          <t>文本</t>
        </is>
      </c>
      <c r="E9" s="90" t="inlineStr">
        <is>
          <t>product-aquamarine-round-8</t>
        </is>
      </c>
      <c r="F9" s="90" t="inlineStr">
        <is>
          <t>商品稳定唯一标识。</t>
        </is>
      </c>
      <c r="G9" s="90" t="inlineStr">
        <is>
          <t>MaterialProduct.id</t>
        </is>
      </c>
    </row>
    <row r="10">
      <c r="A10" s="90" t="inlineStr">
        <is>
          <t>珠子SKU</t>
        </is>
      </c>
      <c r="B10" s="90" t="inlineStr">
        <is>
          <t>sku</t>
        </is>
      </c>
      <c r="C10" s="90" t="inlineStr">
        <is>
          <t>是</t>
        </is>
      </c>
      <c r="D10" s="90" t="inlineStr">
        <is>
          <t>文本</t>
        </is>
      </c>
      <c r="E10" s="90" t="inlineStr">
        <is>
          <t>AQ-CNY-8</t>
        </is>
      </c>
      <c r="F10" s="90" t="inlineStr">
        <is>
          <t>库存和销售编码，不可重复。</t>
        </is>
      </c>
      <c r="G10" s="90" t="inlineStr">
        <is>
          <t>MaterialProduct.sku</t>
        </is>
      </c>
    </row>
    <row r="11">
      <c r="A11" s="90" t="inlineStr">
        <is>
          <t>珠子SKU</t>
        </is>
      </c>
      <c r="B11" s="90" t="inlineStr">
        <is>
          <t>crystal_id</t>
        </is>
      </c>
      <c r="C11" s="90" t="inlineStr">
        <is>
          <t>是</t>
        </is>
      </c>
      <c r="D11" s="90" t="inlineStr">
        <is>
          <t>文本</t>
        </is>
      </c>
      <c r="E11" s="90" t="inlineStr">
        <is>
          <t>crystal-aquamarine</t>
        </is>
      </c>
      <c r="F11" s="90" t="inlineStr">
        <is>
          <t>必须先存在于水晶主数据。</t>
        </is>
      </c>
      <c r="G11" s="90" t="inlineStr">
        <is>
          <t>MaterialProduct.crystalId</t>
        </is>
      </c>
    </row>
    <row r="12">
      <c r="A12" s="90" t="inlineStr">
        <is>
          <t>珠子SKU</t>
        </is>
      </c>
      <c r="B12" s="90" t="inlineStr">
        <is>
          <t>形状</t>
        </is>
      </c>
      <c r="C12" s="90" t="inlineStr">
        <is>
          <t>是</t>
        </is>
      </c>
      <c r="D12" s="90" t="inlineStr">
        <is>
          <t>枚举</t>
        </is>
      </c>
      <c r="E12" s="90" t="inlineStr">
        <is>
          <t>ROUND</t>
        </is>
      </c>
      <c r="F12" s="90" t="inlineStr">
        <is>
          <t>ROUND / FACETED / OVAL / BARREL / CHIP / OTHER。</t>
        </is>
      </c>
      <c r="G12" s="90" t="inlineStr">
        <is>
          <t>MaterialProduct.shape</t>
        </is>
      </c>
    </row>
    <row r="13">
      <c r="A13" s="90" t="inlineStr">
        <is>
          <t>珠子SKU</t>
        </is>
      </c>
      <c r="B13" s="90" t="inlineStr">
        <is>
          <t>直径_mm</t>
        </is>
      </c>
      <c r="C13" s="90" t="inlineStr">
        <is>
          <t>条件必填</t>
        </is>
      </c>
      <c r="D13" s="90" t="inlineStr">
        <is>
          <t>小数</t>
        </is>
      </c>
      <c r="E13" s="90" t="inlineStr">
        <is>
          <t>8</t>
        </is>
      </c>
      <c r="F13" s="90" t="inlineStr">
        <is>
          <t>直径、长度、宽度、高度至少填写一个；圆珠建议填写直径。</t>
        </is>
      </c>
      <c r="G13" s="90" t="inlineStr">
        <is>
          <t>MaterialProduct.diameterMm</t>
        </is>
      </c>
    </row>
    <row r="14">
      <c r="A14" s="90" t="inlineStr">
        <is>
          <t>珠子SKU</t>
        </is>
      </c>
      <c r="B14" s="90" t="inlineStr">
        <is>
          <t>币种</t>
        </is>
      </c>
      <c r="C14" s="90" t="inlineStr">
        <is>
          <t>是</t>
        </is>
      </c>
      <c r="D14" s="90" t="inlineStr">
        <is>
          <t>枚举</t>
        </is>
      </c>
      <c r="E14" s="90" t="inlineStr">
        <is>
          <t>CNY</t>
        </is>
      </c>
      <c r="F14" s="90" t="inlineStr">
        <is>
          <t>CNY 与 TWD 独立定价，不做汇率换算。</t>
        </is>
      </c>
      <c r="G14" s="90" t="inlineStr">
        <is>
          <t>MaterialProduct.currency</t>
        </is>
      </c>
    </row>
    <row r="15">
      <c r="A15" s="90" t="inlineStr">
        <is>
          <t>珠子SKU</t>
        </is>
      </c>
      <c r="B15" s="90" t="inlineStr">
        <is>
          <t>售价_最小单位</t>
        </is>
      </c>
      <c r="C15" s="90" t="inlineStr">
        <is>
          <t>是</t>
        </is>
      </c>
      <c r="D15" s="90" t="inlineStr">
        <is>
          <t>非负整数</t>
        </is>
      </c>
      <c r="E15" s="90" t="inlineStr">
        <is>
          <t>1200</t>
        </is>
      </c>
      <c r="F15" s="90" t="inlineStr">
        <is>
          <t>CNY 为分（1200=¥12.00）；TWD 为整数元。</t>
        </is>
      </c>
      <c r="G15" s="90" t="inlineStr">
        <is>
          <t>MaterialProduct.unitPriceMinor</t>
        </is>
      </c>
    </row>
    <row r="16">
      <c r="A16" s="90" t="inlineStr">
        <is>
          <t>珠子SKU</t>
        </is>
      </c>
      <c r="B16" s="90" t="inlineStr">
        <is>
          <t>成本_最小单位</t>
        </is>
      </c>
      <c r="C16" s="90" t="inlineStr">
        <is>
          <t>是</t>
        </is>
      </c>
      <c r="D16" s="90" t="inlineStr">
        <is>
          <t>非负整数</t>
        </is>
      </c>
      <c r="E16" s="90" t="inlineStr">
        <is>
          <t>504</t>
        </is>
      </c>
      <c r="F16" s="90" t="inlineStr">
        <is>
          <t>仅服务端可见，不会暴露在商品目录 API。</t>
        </is>
      </c>
      <c r="G16" s="90" t="inlineStr">
        <is>
          <t>MaterialProduct.unitCostMinor</t>
        </is>
      </c>
    </row>
    <row r="17">
      <c r="A17" s="90" t="inlineStr">
        <is>
          <t>珠子SKU</t>
        </is>
      </c>
      <c r="B17" s="90" t="inlineStr">
        <is>
          <t>material_key</t>
        </is>
      </c>
      <c r="C17" s="90" t="inlineStr">
        <is>
          <t>是</t>
        </is>
      </c>
      <c r="D17" s="90" t="inlineStr">
        <is>
          <t>文本</t>
        </is>
      </c>
      <c r="E17" s="90" t="inlineStr">
        <is>
          <t>crystal-aquamarine-material-v1</t>
        </is>
      </c>
      <c r="F17" s="90" t="inlineStr">
        <is>
          <t>渲染材质稳定键。</t>
        </is>
      </c>
      <c r="G17" s="90" t="inlineStr">
        <is>
          <t>MaterialProduct.materialKey</t>
        </is>
      </c>
    </row>
    <row r="18">
      <c r="A18" s="90" t="inlineStr">
        <is>
          <t>珠子SKU</t>
        </is>
      </c>
      <c r="B18" s="90" t="inlineStr">
        <is>
          <t>商品图片文件名</t>
        </is>
      </c>
      <c r="C18" s="90" t="inlineStr">
        <is>
          <t>是</t>
        </is>
      </c>
      <c r="D18" s="90" t="inlineStr">
        <is>
          <t>文本</t>
        </is>
      </c>
      <c r="E18" s="90" t="inlineStr">
        <is>
          <t>aquamarine-round-8.png</t>
        </is>
      </c>
      <c r="F18" s="90" t="inlineStr">
        <is>
          <t>导入前图片必须存在；应用资源字段将由导入器映射。</t>
        </is>
      </c>
      <c r="G18" s="90" t="inlineStr">
        <is>
          <t>导入资源映射</t>
        </is>
      </c>
    </row>
    <row r="19">
      <c r="A19" s="90" t="inlineStr">
        <is>
          <t>珠子SKU</t>
        </is>
      </c>
      <c r="B19" s="90" t="inlineStr">
        <is>
          <t>可用库存</t>
        </is>
      </c>
      <c r="C19" s="90" t="inlineStr">
        <is>
          <t>是</t>
        </is>
      </c>
      <c r="D19" s="90" t="inlineStr">
        <is>
          <t>非负整数</t>
        </is>
      </c>
      <c r="E19" s="90" t="inlineStr">
        <is>
          <t>100</t>
        </is>
      </c>
      <c r="F19" s="90" t="inlineStr">
        <is>
          <t>首批导入时生成库存快照。</t>
        </is>
      </c>
      <c r="G19" s="90" t="inlineStr">
        <is>
          <t>InventorySnapshot.availableQuantity</t>
        </is>
      </c>
    </row>
    <row r="20">
      <c r="A20" s="90" t="inlineStr">
        <is>
          <t>珠子SKU</t>
        </is>
      </c>
      <c r="B20" s="90" t="inlineStr">
        <is>
          <t>是否上架</t>
        </is>
      </c>
      <c r="C20" s="90" t="inlineStr">
        <is>
          <t>是</t>
        </is>
      </c>
      <c r="D20" s="90" t="inlineStr">
        <is>
          <t>布尔</t>
        </is>
      </c>
      <c r="E20" s="90" t="inlineStr">
        <is>
          <t>TRUE</t>
        </is>
      </c>
      <c r="F20" s="90" t="inlineStr">
        <is>
          <t>FALSE 会保留商品但不显示在目录。</t>
        </is>
      </c>
      <c r="G20" s="90" t="inlineStr">
        <is>
          <t>MaterialProduct.active</t>
        </is>
      </c>
    </row>
    <row r="21">
      <c r="A21" s="90" t="inlineStr">
        <is>
          <t>配件SKU</t>
        </is>
      </c>
      <c r="B21" s="90" t="inlineStr">
        <is>
          <t>配件类型</t>
        </is>
      </c>
      <c r="C21" s="90" t="inlineStr">
        <is>
          <t>是</t>
        </is>
      </c>
      <c r="D21" s="90" t="inlineStr">
        <is>
          <t>枚举</t>
        </is>
      </c>
      <c r="E21" s="90" t="inlineStr">
        <is>
          <t>SPACER</t>
        </is>
      </c>
      <c r="F21" s="90" t="inlineStr">
        <is>
          <t>SPACER / PENDANT / CHARM / CLASP / RING / OTHER。</t>
        </is>
      </c>
      <c r="G21" s="90" t="inlineStr">
        <is>
          <t>AccessoryProduct.accessoryType</t>
        </is>
      </c>
    </row>
    <row r="22">
      <c r="A22" s="91" t="inlineStr">
        <is>
          <t>配件SKU</t>
        </is>
      </c>
      <c r="B22" s="91" t="inlineStr">
        <is>
          <t>尺寸</t>
        </is>
      </c>
      <c r="C22" s="91" t="inlineStr">
        <is>
          <t>按类型</t>
        </is>
      </c>
      <c r="D22" s="91" t="inlineStr">
        <is>
          <t>小数</t>
        </is>
      </c>
      <c r="E22" s="91" t="inlineStr">
        <is>
          <t>直径 3 / 宽 2</t>
        </is>
      </c>
      <c r="F22" s="91" t="inlineStr">
        <is>
          <t>至少填写与实物有关的一个尺寸。</t>
        </is>
      </c>
      <c r="G22" s="91" t="inlineStr">
        <is>
          <t>AccessoryProduct.dimensions</t>
        </is>
      </c>
    </row>
    <row r="23">
      <c r="A23" s="139" t="inlineStr">
        <is>
          <t>珠子SKU</t>
        </is>
      </c>
      <c r="B23" s="139" t="inlineStr">
        <is>
          <t>市场品质等级</t>
        </is>
      </c>
      <c r="C23" s="139" t="inlineStr">
        <is>
          <t>是</t>
        </is>
      </c>
      <c r="D23" s="139" t="inlineStr">
        <is>
          <t>枚举</t>
        </is>
      </c>
      <c r="E23" s="139" t="inlineStr">
        <is>
          <t>COMMERCIAL_A</t>
        </is>
      </c>
      <c r="F23" s="139" t="inlineStr">
        <is>
          <t>商业描述，不对应固定透明度、净度或瑕疵标准。</t>
        </is>
      </c>
      <c r="G23" s="139" t="inlineStr">
        <is>
          <t>MaterialProduct.marketQualityGrade</t>
        </is>
      </c>
    </row>
    <row r="24">
      <c r="A24" s="139" t="inlineStr">
        <is>
          <t>珠子SKU</t>
        </is>
      </c>
      <c r="B24" s="139" t="inlineStr">
        <is>
          <t>品质信息来源</t>
        </is>
      </c>
      <c r="C24" s="139" t="inlineStr">
        <is>
          <t>是</t>
        </is>
      </c>
      <c r="D24" s="139" t="inlineStr">
        <is>
          <t>枚举</t>
        </is>
      </c>
      <c r="E24" s="139" t="inlineStr">
        <is>
          <t>SUPPLIER_CLAIM</t>
        </is>
      </c>
      <c r="F24" s="139" t="inlineStr">
        <is>
          <t>只记录用户、供应商、市场描述或无法确认。</t>
        </is>
      </c>
      <c r="G24" s="139" t="inlineStr">
        <is>
          <t>MaterialProduct.qualityInformationSource</t>
        </is>
      </c>
    </row>
    <row r="25">
      <c r="A25" s="139" t="inlineStr">
        <is>
          <t>珠子SKU</t>
        </is>
      </c>
      <c r="B25" s="139" t="inlineStr">
        <is>
          <t>品质备注</t>
        </is>
      </c>
      <c r="C25" s="139" t="inlineStr">
        <is>
          <t>否</t>
        </is>
      </c>
      <c r="D25" s="139" t="inlineStr">
        <is>
          <t>文本</t>
        </is>
      </c>
      <c r="E25" s="139" t="inlineStr">
        <is>
          <t>普通市场货，以当前批次实拍图为准。</t>
        </is>
      </c>
      <c r="F25" s="139" t="inlineStr">
        <is>
          <t>不得要求专业鉴定细分。</t>
        </is>
      </c>
      <c r="G25" s="139" t="inlineStr">
        <is>
          <t>MaterialProduct.qualityNote</t>
        </is>
      </c>
    </row>
    <row r="26">
      <c r="A26" s="139" t="inlineStr">
        <is>
          <t>珠子SKU</t>
        </is>
      </c>
      <c r="B26" s="139" t="inlineStr">
        <is>
          <t>是否经过人工确认</t>
        </is>
      </c>
      <c r="C26" s="139" t="inlineStr">
        <is>
          <t>是</t>
        </is>
      </c>
      <c r="D26" s="139" t="inlineStr">
        <is>
          <t>布尔枚举</t>
        </is>
      </c>
      <c r="E26" s="139" t="inlineStr">
        <is>
          <t>TRUE</t>
        </is>
      </c>
      <c r="F26" s="139" t="inlineStr">
        <is>
          <t>进入 AI 设计库前的重要门槛。</t>
        </is>
      </c>
      <c r="G26" s="139" t="inlineStr">
        <is>
          <t>MaterialProduct.humanConfirmed</t>
        </is>
      </c>
    </row>
    <row r="27">
      <c r="A27" s="139" t="inlineStr">
        <is>
          <t>珠子SKU</t>
        </is>
      </c>
      <c r="B27" s="139" t="inlineStr">
        <is>
          <t>是否适合进入AI设计库</t>
        </is>
      </c>
      <c r="C27" s="139" t="inlineStr">
        <is>
          <t>是</t>
        </is>
      </c>
      <c r="D27" s="139" t="inlineStr">
        <is>
          <t>布尔枚举</t>
        </is>
      </c>
      <c r="E27" s="139" t="inlineStr">
        <is>
          <t>TRUE</t>
        </is>
      </c>
      <c r="F27" s="139" t="inlineStr">
        <is>
          <t>UNKNOWN 品质或未人工确认时进入待复核。</t>
        </is>
      </c>
      <c r="G27" s="139" t="inlineStr">
        <is>
          <t>MaterialProduct.aiDesignEligible</t>
        </is>
      </c>
    </row>
    <row r="28">
      <c r="A28" s="139" t="inlineStr">
        <is>
          <t>库存批次</t>
        </is>
      </c>
      <c r="B28" s="139" t="inlineStr">
        <is>
          <t>lot_id</t>
        </is>
      </c>
      <c r="C28" s="139" t="inlineStr">
        <is>
          <t>是</t>
        </is>
      </c>
      <c r="D28" s="139" t="inlineStr">
        <is>
          <t>文本</t>
        </is>
      </c>
      <c r="E28" s="139" t="inlineStr">
        <is>
          <t>lot-aq-202607-01</t>
        </is>
      </c>
      <c r="F28" s="139" t="inlineStr">
        <is>
          <t>批次唯一标识，不可重复。</t>
        </is>
      </c>
      <c r="G28" s="139" t="inlineStr">
        <is>
          <t>InventoryLot.id</t>
        </is>
      </c>
    </row>
    <row r="29">
      <c r="A29" s="139" t="inlineStr">
        <is>
          <t>库存批次</t>
        </is>
      </c>
      <c r="B29" s="139" t="inlineStr">
        <is>
          <t>sku</t>
        </is>
      </c>
      <c r="C29" s="139" t="inlineStr">
        <is>
          <t>是</t>
        </is>
      </c>
      <c r="D29" s="139" t="inlineStr">
        <is>
          <t>外键文本</t>
        </is>
      </c>
      <c r="E29" s="139" t="inlineStr">
        <is>
          <t>AQ-CNY-8</t>
        </is>
      </c>
      <c r="F29" s="139" t="inlineStr">
        <is>
          <t>必须存在于珠子SKU。</t>
        </is>
      </c>
      <c r="G29" s="139" t="inlineStr">
        <is>
          <t>InventoryLot.sku</t>
        </is>
      </c>
    </row>
    <row r="30">
      <c r="A30" s="139" t="inlineStr">
        <is>
          <t>库存批次</t>
        </is>
      </c>
      <c r="B30" s="139" t="inlineStr">
        <is>
          <t>批次外观备注</t>
        </is>
      </c>
      <c r="C30" s="139" t="inlineStr">
        <is>
          <t>否</t>
        </is>
      </c>
      <c r="D30" s="139" t="inlineStr">
        <is>
          <t>文本</t>
        </is>
      </c>
      <c r="E30" s="139" t="inlineStr">
        <is>
          <t>本批次整体偏浅紫</t>
        </is>
      </c>
      <c r="F30" s="139" t="inlineStr">
        <is>
          <t>仅写可直观看到的描述，不写专业鉴定结论。</t>
        </is>
      </c>
      <c r="G30" s="139" t="inlineStr">
        <is>
          <t>InventoryLot.appearanceNote</t>
        </is>
      </c>
    </row>
    <row r="31">
      <c r="A31" s="139" t="inlineStr">
        <is>
          <t>图片资产</t>
        </is>
      </c>
      <c r="B31" s="139" t="inlineStr">
        <is>
          <t>image_id</t>
        </is>
      </c>
      <c r="C31" s="139" t="inlineStr">
        <is>
          <t>是</t>
        </is>
      </c>
      <c r="D31" s="139" t="inlineStr">
        <is>
          <t>文本</t>
        </is>
      </c>
      <c r="E31" s="139" t="inlineStr">
        <is>
          <t>img-aq-main-001</t>
        </is>
      </c>
      <c r="F31" s="139" t="inlineStr">
        <is>
          <t>一张图片一行；图片 ID 不可重复。</t>
        </is>
      </c>
      <c r="G31" s="139" t="inlineStr">
        <is>
          <t>ImageAsset.id</t>
        </is>
      </c>
    </row>
    <row r="32">
      <c r="A32" s="139" t="inlineStr">
        <is>
          <t>图片资产</t>
        </is>
      </c>
      <c r="B32" s="139" t="inlineStr">
        <is>
          <t>相对路径</t>
        </is>
      </c>
      <c r="C32" s="139" t="inlineStr">
        <is>
          <t>是</t>
        </is>
      </c>
      <c r="D32" s="139" t="inlineStr">
        <is>
          <t>文本</t>
        </is>
      </c>
      <c r="E32" s="139" t="inlineStr">
        <is>
          <t>images/aquamarine/a.png</t>
        </is>
      </c>
      <c r="F32" s="139" t="inlineStr">
        <is>
          <t>从商品资产根目录起的相对路径。</t>
        </is>
      </c>
      <c r="G32" s="139" t="inlineStr">
        <is>
          <t>ImageAsset.relativePath</t>
        </is>
      </c>
    </row>
    <row r="33">
      <c r="A33" s="139" t="inlineStr">
        <is>
          <t>图片资产</t>
        </is>
      </c>
      <c r="B33" s="139" t="inlineStr">
        <is>
          <t>使用权限</t>
        </is>
      </c>
      <c r="C33" s="139" t="inlineStr">
        <is>
          <t>是</t>
        </is>
      </c>
      <c r="D33" s="139" t="inlineStr">
        <is>
          <t>枚举</t>
        </is>
      </c>
      <c r="E33" s="139" t="inlineStr">
        <is>
          <t>OWNED</t>
        </is>
      </c>
      <c r="F33" s="139" t="inlineStr">
        <is>
          <t>权限不明确时使用 UNKNOWN 并待人工复核。</t>
        </is>
      </c>
      <c r="G33" s="139" t="inlineStr">
        <is>
          <t>ImageAsset.usagePermission</t>
        </is>
      </c>
    </row>
    <row r="34">
      <c r="A34" s="139" t="inlineStr">
        <is>
          <t>AI分析结果</t>
        </is>
      </c>
      <c r="B34" s="139" t="inlineStr">
        <is>
          <t>全部字段</t>
        </is>
      </c>
      <c r="C34" s="139" t="inlineStr">
        <is>
          <t>否</t>
        </is>
      </c>
      <c r="D34" s="139" t="inlineStr">
        <is>
          <t>可选模型输出</t>
        </is>
      </c>
      <c r="E34" s="139" t="inlineStr">
        <is>
          <t>UNKNOWN</t>
        </is>
      </c>
      <c r="F34" s="139" t="inlineStr">
        <is>
          <t>仅作模型估算，不是鉴定结论，也不是正式导入依据。</t>
        </is>
      </c>
      <c r="G34" s="139" t="inlineStr">
        <is>
          <t>AiAnalysisResult.*</t>
        </is>
      </c>
    </row>
    <row r="35">
      <c r="A35" s="139" t="inlineStr">
        <is>
          <t>正式工作表</t>
        </is>
      </c>
      <c r="B35" s="139" t="inlineStr">
        <is>
          <t>专业鉴定细分字段</t>
        </is>
      </c>
      <c r="C35" s="139" t="inlineStr">
        <is>
          <t>否/暂不使用</t>
        </is>
      </c>
      <c r="D35" s="139" t="inlineStr">
        <is>
          <t>不录入</t>
        </is>
      </c>
      <c r="E35" s="139" t="n"/>
      <c r="F35" s="139" t="inlineStr">
        <is>
          <t>透明度、棉絮、冰裂、黑点、矿缺、包裹体、颜色均匀度、处理方式等不在正式人工录入区。</t>
        </is>
      </c>
      <c r="G35" s="139" t="inlineStr">
        <is>
          <t>仅可选存入 AI分析结果</t>
        </is>
      </c>
    </row>
  </sheetData>
  <mergeCells count="1">
    <mergeCell ref="A1:G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9" customWidth="1" min="16" max="16"/>
    <col width="14" customWidth="1" min="17" max="17"/>
    <col width="17" customWidth="1" min="18" max="18"/>
    <col width="14" customWidth="1" min="19" max="19"/>
    <col width="14" customWidth="1" min="20" max="20"/>
  </cols>
  <sheetData>
    <row r="1">
      <c r="A1" t="inlineStr">
        <is>
          <t>market_quality</t>
        </is>
      </c>
      <c r="B1" t="inlineStr">
        <is>
          <t>quality_source</t>
        </is>
      </c>
      <c r="C1" t="inlineStr">
        <is>
          <t>boolean</t>
        </is>
      </c>
      <c r="D1" t="inlineStr">
        <is>
          <t>shape</t>
        </is>
      </c>
      <c r="E1" t="inlineStr">
        <is>
          <t>facet_type</t>
        </is>
      </c>
      <c r="F1" t="inlineStr">
        <is>
          <t>pricing_unit</t>
        </is>
      </c>
      <c r="G1" t="inlineStr">
        <is>
          <t>currency</t>
        </is>
      </c>
      <c r="H1" t="inlineStr">
        <is>
          <t>inventory_unit</t>
        </is>
      </c>
      <c r="I1" t="inlineStr">
        <is>
          <t>quality_check_status</t>
        </is>
      </c>
      <c r="J1" t="inlineStr">
        <is>
          <t>image_type</t>
        </is>
      </c>
      <c r="K1" t="inlineStr">
        <is>
          <t>image_source_type</t>
        </is>
      </c>
      <c r="L1" t="inlineStr">
        <is>
          <t>usage_permission</t>
        </is>
      </c>
      <c r="M1" t="inlineStr">
        <is>
          <t>review_status</t>
        </is>
      </c>
      <c r="N1" t="inlineStr">
        <is>
          <t>estimate_level</t>
        </is>
      </c>
      <c r="O1" t="inlineStr">
        <is>
          <t>surface_condition</t>
        </is>
      </c>
      <c r="P1" t="inlineStr">
        <is>
          <t>estimated_visual_quality</t>
        </is>
      </c>
      <c r="Q1" t="inlineStr">
        <is>
          <t>accessory_type</t>
        </is>
      </c>
      <c r="R1" t="inlineStr">
        <is>
          <t>accessory_material</t>
        </is>
      </c>
      <c r="S1" t="inlineStr">
        <is>
          <t>finish</t>
        </is>
      </c>
      <c r="T1" t="inlineStr">
        <is>
          <t>availability</t>
        </is>
      </c>
    </row>
    <row r="2">
      <c r="A2" t="inlineStr">
        <is>
          <t>COMMERCIAL_A</t>
        </is>
      </c>
      <c r="B2" t="inlineStr">
        <is>
          <t>USER_CONFIRMED</t>
        </is>
      </c>
      <c r="C2" t="inlineStr">
        <is>
          <t>TRUE</t>
        </is>
      </c>
      <c r="D2" t="inlineStr">
        <is>
          <t>ROUND</t>
        </is>
      </c>
      <c r="E2" t="inlineStr">
        <is>
          <t>NONE</t>
        </is>
      </c>
      <c r="F2" t="inlineStr">
        <is>
          <t>PER_BEAD</t>
        </is>
      </c>
      <c r="G2" t="inlineStr">
        <is>
          <t>CNY</t>
        </is>
      </c>
      <c r="H2" t="inlineStr">
        <is>
          <t>BEAD</t>
        </is>
      </c>
      <c r="I2" t="inlineStr">
        <is>
          <t>PENDING</t>
        </is>
      </c>
      <c r="J2" t="inlineStr">
        <is>
          <t>MAIN</t>
        </is>
      </c>
      <c r="K2" t="inlineStr">
        <is>
          <t>USER_OWNED</t>
        </is>
      </c>
      <c r="L2" t="inlineStr">
        <is>
          <t>OWNED</t>
        </is>
      </c>
      <c r="M2" t="inlineStr">
        <is>
          <t>PENDING</t>
        </is>
      </c>
      <c r="N2" t="inlineStr">
        <is>
          <t>LOW</t>
        </is>
      </c>
      <c r="O2" t="inlineStr">
        <is>
          <t>GOOD</t>
        </is>
      </c>
      <c r="P2" t="inlineStr">
        <is>
          <t>COMMERCIAL_A</t>
        </is>
      </c>
      <c r="Q2" t="inlineStr">
        <is>
          <t>SPACER</t>
        </is>
      </c>
      <c r="R2" t="inlineStr">
        <is>
          <t>STERLING_SILVER</t>
        </is>
      </c>
      <c r="S2" t="inlineStr">
        <is>
          <t>POLISHED</t>
        </is>
      </c>
      <c r="T2" t="inlineStr">
        <is>
          <t>regular</t>
        </is>
      </c>
    </row>
    <row r="3">
      <c r="A3" t="inlineStr">
        <is>
          <t>NEAR_COMMERCIAL_A</t>
        </is>
      </c>
      <c r="B3" t="inlineStr">
        <is>
          <t>SUPPLIER_CLAIM</t>
        </is>
      </c>
      <c r="C3" t="inlineStr">
        <is>
          <t>FALSE</t>
        </is>
      </c>
      <c r="D3" t="inlineStr">
        <is>
          <t>FACETED</t>
        </is>
      </c>
      <c r="E3" t="inlineStr">
        <is>
          <t>FACETED</t>
        </is>
      </c>
      <c r="F3" t="inlineStr">
        <is>
          <t>PER_STRAND</t>
        </is>
      </c>
      <c r="G3" t="inlineStr">
        <is>
          <t>TWD</t>
        </is>
      </c>
      <c r="H3" t="inlineStr">
        <is>
          <t>STRAND</t>
        </is>
      </c>
      <c r="I3" t="inlineStr">
        <is>
          <t>PASSED</t>
        </is>
      </c>
      <c r="J3" t="inlineStr">
        <is>
          <t>SINGLE_BEAD</t>
        </is>
      </c>
      <c r="K3" t="inlineStr">
        <is>
          <t>SUPPLIER</t>
        </is>
      </c>
      <c r="L3" t="inlineStr">
        <is>
          <t>AUTHORIZED</t>
        </is>
      </c>
      <c r="M3" t="inlineStr">
        <is>
          <t>PASSED</t>
        </is>
      </c>
      <c r="N3" t="inlineStr">
        <is>
          <t>MEDIUM</t>
        </is>
      </c>
      <c r="O3" t="inlineStr">
        <is>
          <t>FAIR</t>
        </is>
      </c>
      <c r="P3" t="inlineStr">
        <is>
          <t>NEAR_COMMERCIAL_A</t>
        </is>
      </c>
      <c r="Q3" t="inlineStr">
        <is>
          <t>PENDANT</t>
        </is>
      </c>
      <c r="R3" t="inlineStr">
        <is>
          <t>GOLD_VERMEIL</t>
        </is>
      </c>
      <c r="S3" t="inlineStr">
        <is>
          <t>MATTE</t>
        </is>
      </c>
      <c r="T3" t="inlineStr">
        <is>
          <t>limited</t>
        </is>
      </c>
    </row>
    <row r="4">
      <c r="A4" t="inlineStr">
        <is>
          <t>UNKNOWN</t>
        </is>
      </c>
      <c r="B4" t="inlineStr">
        <is>
          <t>MARKET_DESCRIPTION</t>
        </is>
      </c>
      <c r="D4" t="inlineStr">
        <is>
          <t>OVAL</t>
        </is>
      </c>
      <c r="E4" t="inlineStr">
        <is>
          <t>CUT</t>
        </is>
      </c>
      <c r="F4" t="inlineStr">
        <is>
          <t>PER_PACK</t>
        </is>
      </c>
      <c r="H4" t="inlineStr">
        <is>
          <t>PACK</t>
        </is>
      </c>
      <c r="I4" t="inlineStr">
        <is>
          <t>REJECTED</t>
        </is>
      </c>
      <c r="J4" t="inlineStr">
        <is>
          <t>STRAND</t>
        </is>
      </c>
      <c r="K4" t="inlineStr">
        <is>
          <t>PLATFORM</t>
        </is>
      </c>
      <c r="L4" t="inlineStr">
        <is>
          <t>PUBLIC_DOMAIN</t>
        </is>
      </c>
      <c r="M4" t="inlineStr">
        <is>
          <t>REJECTED</t>
        </is>
      </c>
      <c r="N4" t="inlineStr">
        <is>
          <t>HIGH</t>
        </is>
      </c>
      <c r="O4" t="inlineStr">
        <is>
          <t>POOR</t>
        </is>
      </c>
      <c r="P4" t="inlineStr">
        <is>
          <t>UNKNOWN</t>
        </is>
      </c>
      <c r="Q4" t="inlineStr">
        <is>
          <t>CHARM</t>
        </is>
      </c>
      <c r="R4" t="inlineStr">
        <is>
          <t>BRASS</t>
        </is>
      </c>
      <c r="S4" t="inlineStr">
        <is>
          <t>BRUSHED</t>
        </is>
      </c>
      <c r="T4" t="inlineStr">
        <is>
          <t>seasonal</t>
        </is>
      </c>
    </row>
    <row r="5">
      <c r="B5" t="inlineStr">
        <is>
          <t>UNKNOWN</t>
        </is>
      </c>
      <c r="D5" t="inlineStr">
        <is>
          <t>BARREL</t>
        </is>
      </c>
      <c r="E5" t="inlineStr">
        <is>
          <t>CARVED</t>
        </is>
      </c>
      <c r="F5" t="inlineStr">
        <is>
          <t>PER_PIECE</t>
        </is>
      </c>
      <c r="H5" t="inlineStr">
        <is>
          <t>PIECE</t>
        </is>
      </c>
      <c r="I5" t="inlineStr">
        <is>
          <t>UNKNOWN</t>
        </is>
      </c>
      <c r="J5" t="inlineStr">
        <is>
          <t>LOT</t>
        </is>
      </c>
      <c r="K5" t="inlineStr">
        <is>
          <t>WEB</t>
        </is>
      </c>
      <c r="L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Q5" t="inlineStr">
        <is>
          <t>CLASP</t>
        </is>
      </c>
      <c r="R5" t="inlineStr">
        <is>
          <t>STEEL</t>
        </is>
      </c>
      <c r="S5" t="inlineStr">
        <is>
          <t>OXIDIZED</t>
        </is>
      </c>
      <c r="T5" t="inlineStr">
        <is>
          <t>discontinued</t>
        </is>
      </c>
    </row>
    <row r="6">
      <c r="D6" t="inlineStr">
        <is>
          <t>CHIP</t>
        </is>
      </c>
      <c r="E6" t="inlineStr">
        <is>
          <t>OTHER</t>
        </is>
      </c>
      <c r="J6" t="inlineStr">
        <is>
          <t>DETAIL</t>
        </is>
      </c>
      <c r="K6" t="inlineStr">
        <is>
          <t>UNKNOWN</t>
        </is>
      </c>
      <c r="L6" t="inlineStr">
        <is>
          <t>PROHIBITED</t>
        </is>
      </c>
      <c r="Q6" t="inlineStr">
        <is>
          <t>RING</t>
        </is>
      </c>
      <c r="R6" t="inlineStr">
        <is>
          <t>STONE</t>
        </is>
      </c>
      <c r="S6" t="inlineStr">
        <is>
          <t>OTHER</t>
        </is>
      </c>
    </row>
    <row r="7">
      <c r="D7" t="inlineStr">
        <is>
          <t>OTHER</t>
        </is>
      </c>
      <c r="J7" t="inlineStr">
        <is>
          <t>TEXTURE</t>
        </is>
      </c>
      <c r="Q7" t="inlineStr">
        <is>
          <t>OTHER</t>
        </is>
      </c>
      <c r="R7" t="inlineStr">
        <is>
          <t>OTHER</t>
        </is>
      </c>
    </row>
    <row r="8">
      <c r="J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玄矶 Mystcrag</dc:creator>
  <dc:title xmlns:dc="http://purl.org/dc/elements/1.1/">玄矶 Mystcrag 珠子商品库导入模板 V1.0 简化优化版</dc:title>
  <dc:description xmlns:dc="http://purl.org/dc/elements/1.1/">保留原紫色主题、示例和业务字段；不要求非专业鉴定字段。</dc:description>
  <dc:subject xmlns:dc="http://purl.org/dc/elements/1.1/">商业品质简化、库存批次、图片资产与隔离 AI 分析结果</dc:subject>
  <dcterms:created xmlns:dcterms="http://purl.org/dc/terms/" xmlns:xsi="http://www.w3.org/2001/XMLSchema-instance" xsi:type="dcterms:W3CDTF">2026-07-24T05:46:11Z</dcterms:created>
  <dcterms:modified xmlns:dcterms="http://purl.org/dc/terms/" xmlns:xsi="http://www.w3.org/2001/XMLSchema-instance" xsi:type="dcterms:W3CDTF">2026-07-24T05:46:12Z</dcterms:modified>
</cp:coreProperties>
</file>